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عليمات" sheetId="1" state="visible" r:id="rId1"/>
    <sheet name="الإعدادات" sheetId="2" state="visible" r:id="rId2"/>
    <sheet name="Teams" sheetId="3" state="visible" r:id="rId3"/>
    <sheet name="Agents" sheetId="4" state="visible" r:id="rId4"/>
    <sheet name="سجل المبيعات" sheetId="5" state="visible" r:id="rId5"/>
    <sheet name="تفاصيل المستشار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9">
    <font>
      <name val="Calibri"/>
      <family val="2"/>
      <color theme="1"/>
      <sz val="11"/>
      <scheme val="minor"/>
    </font>
    <font>
      <b val="1"/>
      <color rgb="000F6338"/>
      <sz val="18"/>
    </font>
    <font>
      <b val="1"/>
      <color rgb="000F6338"/>
    </font>
    <font>
      <b val="1"/>
      <color rgb="000F6338"/>
      <sz val="13"/>
    </font>
    <font>
      <name val="Calibri"/>
      <b val="1"/>
      <color rgb="00FFFFFF"/>
      <sz val="11"/>
    </font>
    <font>
      <b val="1"/>
      <color rgb="000F6338"/>
      <sz val="14"/>
    </font>
    <font>
      <b val="1"/>
      <color rgb="000F6338"/>
      <sz val="16"/>
    </font>
    <font>
      <b val="1"/>
    </font>
    <font>
      <b val="1"/>
      <color rgb="005B6472"/>
    </font>
  </fonts>
  <fills count="4">
    <fill>
      <patternFill/>
    </fill>
    <fill>
      <patternFill patternType="gray125"/>
    </fill>
    <fill>
      <patternFill patternType="solid">
        <fgColor rgb="00157A4A"/>
      </patternFill>
    </fill>
    <fill>
      <patternFill patternType="solid">
        <fgColor rgb="00F7F8F6"/>
      </patternFill>
    </fill>
  </fills>
  <borders count="2">
    <border>
      <left/>
      <right/>
      <top/>
      <bottom/>
      <diagonal/>
    </border>
    <border>
      <left style="thin">
        <color rgb="00E7E9E6"/>
      </left>
      <right style="thin">
        <color rgb="00E7E9E6"/>
      </right>
      <top style="thin">
        <color rgb="00E7E9E6"/>
      </top>
      <bottom style="thin">
        <color rgb="00E7E9E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right"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3" borderId="1" pivotButton="0" quotePrefix="0" xfId="0"/>
    <xf numFmtId="3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9" fontId="0" fillId="3" borderId="1" pivotButton="0" quotePrefix="0" xfId="0"/>
    <xf numFmtId="9" fontId="0" fillId="0" borderId="1" pivotButton="0" quotePrefix="0" xfId="0"/>
    <xf numFmtId="164" fontId="0" fillId="3" borderId="1" pivotButton="0" quotePrefix="0" xfId="0"/>
    <xf numFmtId="165" fontId="0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3" borderId="1" pivotButton="0" quotePrefix="0" xfId="0"/>
    <xf numFmtId="0" fontId="8" fillId="0" borderId="1" pivotButton="0" quotePrefix="0" xfId="0"/>
    <xf numFmtId="0" fontId="3" fillId="0" borderId="1" pivotButton="0" quotePrefix="0" xfId="0"/>
    <xf numFmtId="3" fontId="3" fillId="0" borderId="1" pivotButton="0" quotePrefix="0" xfId="0"/>
    <xf numFmtId="9" fontId="3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57A4A"/>
    <outlinePr summaryBelow="1" summaryRight="1"/>
    <pageSetUpPr/>
  </sheetPr>
  <dimension ref="A1:F22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شيت مبيعات Everest — دليل الاستخدام</t>
        </is>
      </c>
    </row>
    <row r="3" ht="45" customHeight="1">
      <c r="A3" s="2" t="inlineStr">
        <is>
          <t>الفكرة</t>
        </is>
      </c>
      <c r="B3" s="3" t="inlineStr">
        <is>
          <t>مدير المبيعات يسجّل كل صفقة عبر نموذج جوجل مرة واحدة، والشيت يحسب كل الباقي تلقائياً: مجاميع كل مستشار، مجاميع كل فريق، ونسبة الإنجاز — دون كتابة رقم واحد يدوياً.</t>
        </is>
      </c>
    </row>
    <row r="5">
      <c r="A5" s="4" t="inlineStr">
        <is>
          <t>خطوات التجهيز (مرة واحدة)</t>
        </is>
      </c>
    </row>
    <row r="6" ht="20" customHeight="1">
      <c r="A6" s="2" t="inlineStr">
        <is>
          <t>1</t>
        </is>
      </c>
      <c r="B6" s="3" t="inlineStr">
        <is>
          <t>افتح الشيت في Google Sheets (يُفتح تلقائياً بعد الرفع).</t>
        </is>
      </c>
    </row>
    <row r="7" ht="30" customHeight="1">
      <c r="A7" s="2" t="inlineStr">
        <is>
          <t>2</t>
        </is>
      </c>
      <c r="B7" s="3" t="inlineStr">
        <is>
          <t>املأ شيت «Teams» بأسماء الفروع، ثم شيت «Agents» بأسماء المستشارين وفريق كل واحد ومستهدف كل ربع.</t>
        </is>
      </c>
    </row>
    <row r="8" ht="20" customHeight="1">
      <c r="A8" s="2" t="inlineStr">
        <is>
          <t>3</t>
        </is>
      </c>
      <c r="B8" s="3" t="inlineStr">
        <is>
          <t>من القائمة: Extensions ← Apps Script.</t>
        </is>
      </c>
    </row>
    <row r="9" ht="20" customHeight="1">
      <c r="A9" s="2" t="inlineStr">
        <is>
          <t>4</t>
        </is>
      </c>
      <c r="B9" s="3" t="inlineStr">
        <is>
          <t>احذف أي كود موجود، والصق كامل محتوى ملف setup_form.gs المرفق.</t>
        </is>
      </c>
    </row>
    <row r="10" ht="30" customHeight="1">
      <c r="A10" s="2" t="inlineStr">
        <is>
          <t>5</t>
        </is>
      </c>
      <c r="B10" s="3" t="inlineStr">
        <is>
          <t>اختر الدالة setupForm من القائمة العلوية ثم اضغط ▶ تشغيل، ووافق على الأذونات عند الطلب (أول مرة فقط).</t>
        </is>
      </c>
    </row>
    <row r="11" ht="30" customHeight="1">
      <c r="A11" s="2" t="inlineStr">
        <is>
          <t>6</t>
        </is>
      </c>
      <c r="B11" s="3" t="inlineStr">
        <is>
          <t>افتح Execution log (Ctrl+Enter) لترى رابطين: رابط تعبئة النموذج أرسله لمدير المبيعات فقط، ورابط تحرير النموذج لك أنت.</t>
        </is>
      </c>
    </row>
    <row r="13" ht="30" customHeight="1">
      <c r="A13" s="2" t="inlineStr">
        <is>
          <t>الاستخدام اليومي</t>
        </is>
      </c>
      <c r="B13" s="3" t="inlineStr">
        <is>
          <t>مدير المبيعات يفتح رابط النموذج بعد كل صفقة ويملأ: المستشار، قيمة الصفقة، التاريخ. لا يحتاج اختيار الفريق — الشيت يستنتجه تلقائياً.</t>
        </is>
      </c>
    </row>
    <row r="15">
      <c r="A15" s="4" t="inlineStr">
        <is>
          <t>أين أرى كل شيء</t>
        </is>
      </c>
    </row>
    <row r="16" ht="20" customHeight="1">
      <c r="A16" s="2" t="inlineStr">
        <is>
          <t>Teams</t>
        </is>
      </c>
      <c r="B16" s="3" t="inlineStr">
        <is>
          <t>قائمة الفروع + عدد الأعضاء + مستهدف كل ربع — تُحسب تلقائياً.</t>
        </is>
      </c>
    </row>
    <row r="17" ht="30" customHeight="1">
      <c r="A17" s="2" t="inlineStr">
        <is>
          <t>Agents</t>
        </is>
      </c>
      <c r="B17" s="3" t="inlineStr">
        <is>
          <t>كل مستشار: مستهدف كل ربع (تكتبه أنت) ومبيعات كل ربع (تُحسب تلقائياً من سجل المبيعات).</t>
        </is>
      </c>
    </row>
    <row r="18" ht="30" customHeight="1">
      <c r="A18" s="2" t="inlineStr">
        <is>
          <t>سجل المبيعات</t>
        </is>
      </c>
      <c r="B18" s="3" t="inlineStr">
        <is>
          <t>كل صفقة كسطر واحد — هذا ما يملأه النموذج. لا تُعدّل فيه يدوياً إلا للتصحيح.</t>
        </is>
      </c>
    </row>
    <row r="19" ht="30" customHeight="1">
      <c r="A19" s="2" t="inlineStr">
        <is>
          <t>تفاصيل المستشار</t>
        </is>
      </c>
      <c r="B19" s="3" t="inlineStr">
        <is>
          <t>اختر اسم مستشار من القائمة المنسدلة في الأعلى لترى كل صفقاته وتقدّمه لحظياً.</t>
        </is>
      </c>
    </row>
    <row r="20" ht="30" customHeight="1">
      <c r="A20" s="2" t="inlineStr">
        <is>
          <t>الإعدادات</t>
        </is>
      </c>
      <c r="B20" s="3" t="inlineStr">
        <is>
          <t>خانة السنة المستخدمة في كل الحسابات — غيّرها في بداية عام جديد لأرشفة العام السابق.</t>
        </is>
      </c>
    </row>
    <row r="22" ht="45" customHeight="1">
      <c r="A22" s="2" t="inlineStr">
        <is>
          <t>الربط بلوحة العرض</t>
        </is>
      </c>
      <c r="B22" s="3" t="inlineStr">
        <is>
          <t>لو كانت هذه اللوحة (Everest Leaderboard) مربوطة بشيت جوجل، انسخ معرّف هذا الملف من رابطه (الجزء بين /d/ و /edit) وضعه في سرّ SHEET_ID على Supabase، ثم شغّل مزامنة sheets-sync.</t>
        </is>
      </c>
    </row>
  </sheetData>
  <mergeCells count="17">
    <mergeCell ref="B7:F7"/>
    <mergeCell ref="B6:F6"/>
    <mergeCell ref="B16:F16"/>
    <mergeCell ref="B20:F20"/>
    <mergeCell ref="B10:F10"/>
    <mergeCell ref="A1:F1"/>
    <mergeCell ref="A5:F5"/>
    <mergeCell ref="B3:F3"/>
    <mergeCell ref="B11:F11"/>
    <mergeCell ref="A15:F15"/>
    <mergeCell ref="B18:F18"/>
    <mergeCell ref="B19:F19"/>
    <mergeCell ref="B22:F22"/>
    <mergeCell ref="B8:F8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AA0A8"/>
    <outlinePr summaryBelow="1" summaryRight="1"/>
    <pageSetUpPr/>
  </sheetPr>
  <dimension ref="A1:C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6" customWidth="1" min="3" max="3"/>
  </cols>
  <sheetData>
    <row r="1" ht="30" customHeight="1">
      <c r="A1" s="5" t="inlineStr">
        <is>
          <t>الإعداد</t>
        </is>
      </c>
      <c r="B1" s="5" t="inlineStr">
        <is>
          <t>القيمة</t>
        </is>
      </c>
      <c r="C1" s="5" t="inlineStr">
        <is>
          <t>ملاحظة</t>
        </is>
      </c>
    </row>
    <row r="2">
      <c r="A2" s="6" t="n"/>
      <c r="B2" s="7" t="n"/>
      <c r="C2" s="6" t="n"/>
    </row>
    <row r="3">
      <c r="A3" t="inlineStr">
        <is>
          <t>السنة الحالية</t>
        </is>
      </c>
      <c r="B3" t="n">
        <v>2026</v>
      </c>
      <c r="C3" t="inlineStr">
        <is>
          <t>تُستخدم في كل معادلات تجميع المبيعات أدناه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7A4A"/>
    <outlinePr summaryBelow="1" summaryRight="1"/>
    <pageSetUpPr/>
  </sheetPr>
  <dimension ref="A1:I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6" customWidth="1" min="9" max="9"/>
  </cols>
  <sheetData>
    <row r="1" ht="30" customHeight="1">
      <c r="A1" s="5" t="inlineStr">
        <is>
          <t>name</t>
        </is>
      </c>
      <c r="B1" s="5" t="inlineStr">
        <is>
          <t>name_ar</t>
        </is>
      </c>
      <c r="C1" s="5" t="inlineStr">
        <is>
          <t>photo</t>
        </is>
      </c>
      <c r="D1" s="5" t="inlineStr">
        <is>
          <t>عدد الأعضاء</t>
        </is>
      </c>
      <c r="E1" s="5" t="inlineStr">
        <is>
          <t>مستهدف Q1</t>
        </is>
      </c>
      <c r="F1" s="5" t="inlineStr">
        <is>
          <t>مستهدف Q2</t>
        </is>
      </c>
      <c r="G1" s="5" t="inlineStr">
        <is>
          <t>مستهدف Q3</t>
        </is>
      </c>
      <c r="H1" s="5" t="inlineStr">
        <is>
          <t>مستهدف Q4</t>
        </is>
      </c>
      <c r="I1" s="5" t="inlineStr">
        <is>
          <t>إجمالي مستهدف السنة</t>
        </is>
      </c>
    </row>
    <row r="2">
      <c r="A2" s="6" t="inlineStr">
        <is>
          <t>New Capital</t>
        </is>
      </c>
      <c r="B2" s="6" t="inlineStr">
        <is>
          <t>العاصمة الإدارية</t>
        </is>
      </c>
      <c r="C2" s="6" t="inlineStr"/>
      <c r="D2" s="6">
        <f>IF($A2="","",COUNTIF(Agents!$C$2:$C$500,$A2))</f>
        <v/>
      </c>
      <c r="E2" s="8">
        <f>IF($A2="","",SUMIF(Agents!$C$2:$C$500,$A2,Agents!$E$2:$E$500))</f>
        <v/>
      </c>
      <c r="F2" s="8">
        <f>IF($A2="","",SUMIF(Agents!$C$2:$C$500,$A2,Agents!$G$2:$G$500))</f>
        <v/>
      </c>
      <c r="G2" s="8">
        <f>IF($A2="","",SUMIF(Agents!$C$2:$C$500,$A2,Agents!$I$2:$I$500))</f>
        <v/>
      </c>
      <c r="H2" s="8">
        <f>IF($A2="","",SUMIF(Agents!$C$2:$C$500,$A2,Agents!$K$2:$K$500))</f>
        <v/>
      </c>
      <c r="I2" s="8">
        <f>IF($A2="","",SUM(E2:H2))</f>
        <v/>
      </c>
    </row>
    <row r="3">
      <c r="A3" s="9" t="inlineStr">
        <is>
          <t>North Coast</t>
        </is>
      </c>
      <c r="B3" s="9" t="inlineStr">
        <is>
          <t>الساحل الشمالي</t>
        </is>
      </c>
      <c r="C3" s="9" t="inlineStr"/>
      <c r="D3" s="9">
        <f>IF($A3="","",COUNTIF(Agents!$C$2:$C$500,$A3))</f>
        <v/>
      </c>
      <c r="E3" s="10">
        <f>IF($A3="","",SUMIF(Agents!$C$2:$C$500,$A3,Agents!$E$2:$E$500))</f>
        <v/>
      </c>
      <c r="F3" s="10">
        <f>IF($A3="","",SUMIF(Agents!$C$2:$C$500,$A3,Agents!$G$2:$G$500))</f>
        <v/>
      </c>
      <c r="G3" s="10">
        <f>IF($A3="","",SUMIF(Agents!$C$2:$C$500,$A3,Agents!$I$2:$I$500))</f>
        <v/>
      </c>
      <c r="H3" s="10">
        <f>IF($A3="","",SUMIF(Agents!$C$2:$C$500,$A3,Agents!$K$2:$K$500))</f>
        <v/>
      </c>
      <c r="I3" s="10">
        <f>IF($A3="","",SUM(E3:H3))</f>
        <v/>
      </c>
    </row>
    <row r="4">
      <c r="A4" s="6" t="inlineStr">
        <is>
          <t>Alexandria</t>
        </is>
      </c>
      <c r="B4" s="6" t="inlineStr">
        <is>
          <t>الإسكندرية</t>
        </is>
      </c>
      <c r="C4" s="6" t="inlineStr"/>
      <c r="D4" s="6">
        <f>IF($A4="","",COUNTIF(Agents!$C$2:$C$500,$A4))</f>
        <v/>
      </c>
      <c r="E4" s="8">
        <f>IF($A4="","",SUMIF(Agents!$C$2:$C$500,$A4,Agents!$E$2:$E$500))</f>
        <v/>
      </c>
      <c r="F4" s="8">
        <f>IF($A4="","",SUMIF(Agents!$C$2:$C$500,$A4,Agents!$G$2:$G$500))</f>
        <v/>
      </c>
      <c r="G4" s="8">
        <f>IF($A4="","",SUMIF(Agents!$C$2:$C$500,$A4,Agents!$I$2:$I$500))</f>
        <v/>
      </c>
      <c r="H4" s="8">
        <f>IF($A4="","",SUMIF(Agents!$C$2:$C$500,$A4,Agents!$K$2:$K$500))</f>
        <v/>
      </c>
      <c r="I4" s="8">
        <f>IF($A4="","",SUM(E4:H4))</f>
        <v/>
      </c>
    </row>
    <row r="5">
      <c r="A5" s="9" t="n"/>
      <c r="B5" s="9" t="n"/>
      <c r="C5" s="9" t="n"/>
      <c r="D5" s="9">
        <f>IF($A5="","",COUNTIF(Agents!$C$2:$C$500,$A5))</f>
        <v/>
      </c>
      <c r="E5" s="10">
        <f>IF($A5="","",SUMIF(Agents!$C$2:$C$500,$A5,Agents!$E$2:$E$500))</f>
        <v/>
      </c>
      <c r="F5" s="10">
        <f>IF($A5="","",SUMIF(Agents!$C$2:$C$500,$A5,Agents!$G$2:$G$500))</f>
        <v/>
      </c>
      <c r="G5" s="10">
        <f>IF($A5="","",SUMIF(Agents!$C$2:$C$500,$A5,Agents!$I$2:$I$500))</f>
        <v/>
      </c>
      <c r="H5" s="10">
        <f>IF($A5="","",SUMIF(Agents!$C$2:$C$500,$A5,Agents!$K$2:$K$500))</f>
        <v/>
      </c>
      <c r="I5" s="10">
        <f>IF($A5="","",SUM(E5:H5))</f>
        <v/>
      </c>
    </row>
    <row r="6">
      <c r="A6" s="6" t="n"/>
      <c r="B6" s="6" t="n"/>
      <c r="C6" s="6" t="n"/>
      <c r="D6" s="6">
        <f>IF($A6="","",COUNTIF(Agents!$C$2:$C$500,$A6))</f>
        <v/>
      </c>
      <c r="E6" s="8">
        <f>IF($A6="","",SUMIF(Agents!$C$2:$C$500,$A6,Agents!$E$2:$E$500))</f>
        <v/>
      </c>
      <c r="F6" s="8">
        <f>IF($A6="","",SUMIF(Agents!$C$2:$C$500,$A6,Agents!$G$2:$G$500))</f>
        <v/>
      </c>
      <c r="G6" s="8">
        <f>IF($A6="","",SUMIF(Agents!$C$2:$C$500,$A6,Agents!$I$2:$I$500))</f>
        <v/>
      </c>
      <c r="H6" s="8">
        <f>IF($A6="","",SUMIF(Agents!$C$2:$C$500,$A6,Agents!$K$2:$K$500))</f>
        <v/>
      </c>
      <c r="I6" s="8">
        <f>IF($A6="","",SUM(E6:H6))</f>
        <v/>
      </c>
    </row>
    <row r="7">
      <c r="A7" s="9" t="n"/>
      <c r="B7" s="9" t="n"/>
      <c r="C7" s="9" t="n"/>
      <c r="D7" s="9">
        <f>IF($A7="","",COUNTIF(Agents!$C$2:$C$500,$A7))</f>
        <v/>
      </c>
      <c r="E7" s="10">
        <f>IF($A7="","",SUMIF(Agents!$C$2:$C$500,$A7,Agents!$E$2:$E$500))</f>
        <v/>
      </c>
      <c r="F7" s="10">
        <f>IF($A7="","",SUMIF(Agents!$C$2:$C$500,$A7,Agents!$G$2:$G$500))</f>
        <v/>
      </c>
      <c r="G7" s="10">
        <f>IF($A7="","",SUMIF(Agents!$C$2:$C$500,$A7,Agents!$I$2:$I$500))</f>
        <v/>
      </c>
      <c r="H7" s="10">
        <f>IF($A7="","",SUMIF(Agents!$C$2:$C$500,$A7,Agents!$K$2:$K$500))</f>
        <v/>
      </c>
      <c r="I7" s="10">
        <f>IF($A7="","",SUM(E7:H7))</f>
        <v/>
      </c>
    </row>
    <row r="8">
      <c r="A8" s="6" t="n"/>
      <c r="B8" s="6" t="n"/>
      <c r="C8" s="6" t="n"/>
      <c r="D8" s="6">
        <f>IF($A8="","",COUNTIF(Agents!$C$2:$C$500,$A8))</f>
        <v/>
      </c>
      <c r="E8" s="8">
        <f>IF($A8="","",SUMIF(Agents!$C$2:$C$500,$A8,Agents!$E$2:$E$500))</f>
        <v/>
      </c>
      <c r="F8" s="8">
        <f>IF($A8="","",SUMIF(Agents!$C$2:$C$500,$A8,Agents!$G$2:$G$500))</f>
        <v/>
      </c>
      <c r="G8" s="8">
        <f>IF($A8="","",SUMIF(Agents!$C$2:$C$500,$A8,Agents!$I$2:$I$500))</f>
        <v/>
      </c>
      <c r="H8" s="8">
        <f>IF($A8="","",SUMIF(Agents!$C$2:$C$500,$A8,Agents!$K$2:$K$500))</f>
        <v/>
      </c>
      <c r="I8" s="8">
        <f>IF($A8="","",SUM(E8:H8))</f>
        <v/>
      </c>
    </row>
    <row r="9">
      <c r="A9" s="9" t="n"/>
      <c r="B9" s="9" t="n"/>
      <c r="C9" s="9" t="n"/>
      <c r="D9" s="9">
        <f>IF($A9="","",COUNTIF(Agents!$C$2:$C$500,$A9))</f>
        <v/>
      </c>
      <c r="E9" s="10">
        <f>IF($A9="","",SUMIF(Agents!$C$2:$C$500,$A9,Agents!$E$2:$E$500))</f>
        <v/>
      </c>
      <c r="F9" s="10">
        <f>IF($A9="","",SUMIF(Agents!$C$2:$C$500,$A9,Agents!$G$2:$G$500))</f>
        <v/>
      </c>
      <c r="G9" s="10">
        <f>IF($A9="","",SUMIF(Agents!$C$2:$C$500,$A9,Agents!$I$2:$I$500))</f>
        <v/>
      </c>
      <c r="H9" s="10">
        <f>IF($A9="","",SUMIF(Agents!$C$2:$C$500,$A9,Agents!$K$2:$K$500))</f>
        <v/>
      </c>
      <c r="I9" s="10">
        <f>IF($A9="","",SUM(E9:H9))</f>
        <v/>
      </c>
    </row>
    <row r="10">
      <c r="A10" s="6" t="n"/>
      <c r="B10" s="6" t="n"/>
      <c r="C10" s="6" t="n"/>
      <c r="D10" s="6">
        <f>IF($A10="","",COUNTIF(Agents!$C$2:$C$500,$A10))</f>
        <v/>
      </c>
      <c r="E10" s="8">
        <f>IF($A10="","",SUMIF(Agents!$C$2:$C$500,$A10,Agents!$E$2:$E$500))</f>
        <v/>
      </c>
      <c r="F10" s="8">
        <f>IF($A10="","",SUMIF(Agents!$C$2:$C$500,$A10,Agents!$G$2:$G$500))</f>
        <v/>
      </c>
      <c r="G10" s="8">
        <f>IF($A10="","",SUMIF(Agents!$C$2:$C$500,$A10,Agents!$I$2:$I$500))</f>
        <v/>
      </c>
      <c r="H10" s="8">
        <f>IF($A10="","",SUMIF(Agents!$C$2:$C$500,$A10,Agents!$K$2:$K$500))</f>
        <v/>
      </c>
      <c r="I10" s="8">
        <f>IF($A10="","",SUM(E10:H10))</f>
        <v/>
      </c>
    </row>
    <row r="11">
      <c r="A11" s="9" t="n"/>
      <c r="B11" s="9" t="n"/>
      <c r="C11" s="9" t="n"/>
      <c r="D11" s="9">
        <f>IF($A11="","",COUNTIF(Agents!$C$2:$C$500,$A11))</f>
        <v/>
      </c>
      <c r="E11" s="10">
        <f>IF($A11="","",SUMIF(Agents!$C$2:$C$500,$A11,Agents!$E$2:$E$500))</f>
        <v/>
      </c>
      <c r="F11" s="10">
        <f>IF($A11="","",SUMIF(Agents!$C$2:$C$500,$A11,Agents!$G$2:$G$500))</f>
        <v/>
      </c>
      <c r="G11" s="10">
        <f>IF($A11="","",SUMIF(Agents!$C$2:$C$500,$A11,Agents!$I$2:$I$500))</f>
        <v/>
      </c>
      <c r="H11" s="10">
        <f>IF($A11="","",SUMIF(Agents!$C$2:$C$500,$A11,Agents!$K$2:$K$500))</f>
        <v/>
      </c>
      <c r="I11" s="10">
        <f>IF($A11="","",SUM(E11:H11))</f>
        <v/>
      </c>
    </row>
    <row r="12">
      <c r="A12" s="6" t="n"/>
      <c r="B12" s="6" t="n"/>
      <c r="C12" s="6" t="n"/>
      <c r="D12" s="6">
        <f>IF($A12="","",COUNTIF(Agents!$C$2:$C$500,$A12))</f>
        <v/>
      </c>
      <c r="E12" s="8">
        <f>IF($A12="","",SUMIF(Agents!$C$2:$C$500,$A12,Agents!$E$2:$E$500))</f>
        <v/>
      </c>
      <c r="F12" s="8">
        <f>IF($A12="","",SUMIF(Agents!$C$2:$C$500,$A12,Agents!$G$2:$G$500))</f>
        <v/>
      </c>
      <c r="G12" s="8">
        <f>IF($A12="","",SUMIF(Agents!$C$2:$C$500,$A12,Agents!$I$2:$I$500))</f>
        <v/>
      </c>
      <c r="H12" s="8">
        <f>IF($A12="","",SUMIF(Agents!$C$2:$C$500,$A12,Agents!$K$2:$K$500))</f>
        <v/>
      </c>
      <c r="I12" s="8">
        <f>IF($A12="","",SUM(E12:H12))</f>
        <v/>
      </c>
    </row>
    <row r="13">
      <c r="A13" s="9" t="n"/>
      <c r="B13" s="9" t="n"/>
      <c r="C13" s="9" t="n"/>
      <c r="D13" s="9">
        <f>IF($A13="","",COUNTIF(Agents!$C$2:$C$500,$A13))</f>
        <v/>
      </c>
      <c r="E13" s="10">
        <f>IF($A13="","",SUMIF(Agents!$C$2:$C$500,$A13,Agents!$E$2:$E$500))</f>
        <v/>
      </c>
      <c r="F13" s="10">
        <f>IF($A13="","",SUMIF(Agents!$C$2:$C$500,$A13,Agents!$G$2:$G$500))</f>
        <v/>
      </c>
      <c r="G13" s="10">
        <f>IF($A13="","",SUMIF(Agents!$C$2:$C$500,$A13,Agents!$I$2:$I$500))</f>
        <v/>
      </c>
      <c r="H13" s="10">
        <f>IF($A13="","",SUMIF(Agents!$C$2:$C$500,$A13,Agents!$K$2:$K$500))</f>
        <v/>
      </c>
      <c r="I13" s="10">
        <f>IF($A13="","",SUM(E13:H13))</f>
        <v/>
      </c>
    </row>
    <row r="14">
      <c r="A14" s="6" t="n"/>
      <c r="B14" s="6" t="n"/>
      <c r="C14" s="6" t="n"/>
      <c r="D14" s="6">
        <f>IF($A14="","",COUNTIF(Agents!$C$2:$C$500,$A14))</f>
        <v/>
      </c>
      <c r="E14" s="8">
        <f>IF($A14="","",SUMIF(Agents!$C$2:$C$500,$A14,Agents!$E$2:$E$500))</f>
        <v/>
      </c>
      <c r="F14" s="8">
        <f>IF($A14="","",SUMIF(Agents!$C$2:$C$500,$A14,Agents!$G$2:$G$500))</f>
        <v/>
      </c>
      <c r="G14" s="8">
        <f>IF($A14="","",SUMIF(Agents!$C$2:$C$500,$A14,Agents!$I$2:$I$500))</f>
        <v/>
      </c>
      <c r="H14" s="8">
        <f>IF($A14="","",SUMIF(Agents!$C$2:$C$500,$A14,Agents!$K$2:$K$500))</f>
        <v/>
      </c>
      <c r="I14" s="8">
        <f>IF($A14="","",SUM(E14:H14))</f>
        <v/>
      </c>
    </row>
    <row r="15">
      <c r="A15" s="9" t="n"/>
      <c r="B15" s="9" t="n"/>
      <c r="C15" s="9" t="n"/>
      <c r="D15" s="9">
        <f>IF($A15="","",COUNTIF(Agents!$C$2:$C$500,$A15))</f>
        <v/>
      </c>
      <c r="E15" s="10">
        <f>IF($A15="","",SUMIF(Agents!$C$2:$C$500,$A15,Agents!$E$2:$E$500))</f>
        <v/>
      </c>
      <c r="F15" s="10">
        <f>IF($A15="","",SUMIF(Agents!$C$2:$C$500,$A15,Agents!$G$2:$G$500))</f>
        <v/>
      </c>
      <c r="G15" s="10">
        <f>IF($A15="","",SUMIF(Agents!$C$2:$C$500,$A15,Agents!$I$2:$I$500))</f>
        <v/>
      </c>
      <c r="H15" s="10">
        <f>IF($A15="","",SUMIF(Agents!$C$2:$C$500,$A15,Agents!$K$2:$K$500))</f>
        <v/>
      </c>
      <c r="I15" s="10">
        <f>IF($A15="","",SUM(E15:H15))</f>
        <v/>
      </c>
    </row>
    <row r="16">
      <c r="A16" s="6" t="n"/>
      <c r="B16" s="6" t="n"/>
      <c r="C16" s="6" t="n"/>
      <c r="D16" s="6">
        <f>IF($A16="","",COUNTIF(Agents!$C$2:$C$500,$A16))</f>
        <v/>
      </c>
      <c r="E16" s="8">
        <f>IF($A16="","",SUMIF(Agents!$C$2:$C$500,$A16,Agents!$E$2:$E$500))</f>
        <v/>
      </c>
      <c r="F16" s="8">
        <f>IF($A16="","",SUMIF(Agents!$C$2:$C$500,$A16,Agents!$G$2:$G$500))</f>
        <v/>
      </c>
      <c r="G16" s="8">
        <f>IF($A16="","",SUMIF(Agents!$C$2:$C$500,$A16,Agents!$I$2:$I$500))</f>
        <v/>
      </c>
      <c r="H16" s="8">
        <f>IF($A16="","",SUMIF(Agents!$C$2:$C$500,$A16,Agents!$K$2:$K$500))</f>
        <v/>
      </c>
      <c r="I16" s="8">
        <f>IF($A16="","",SUM(E16:H16))</f>
        <v/>
      </c>
    </row>
    <row r="17">
      <c r="A17" s="9" t="n"/>
      <c r="B17" s="9" t="n"/>
      <c r="C17" s="9" t="n"/>
      <c r="D17" s="9">
        <f>IF($A17="","",COUNTIF(Agents!$C$2:$C$500,$A17))</f>
        <v/>
      </c>
      <c r="E17" s="10">
        <f>IF($A17="","",SUMIF(Agents!$C$2:$C$500,$A17,Agents!$E$2:$E$500))</f>
        <v/>
      </c>
      <c r="F17" s="10">
        <f>IF($A17="","",SUMIF(Agents!$C$2:$C$500,$A17,Agents!$G$2:$G$500))</f>
        <v/>
      </c>
      <c r="G17" s="10">
        <f>IF($A17="","",SUMIF(Agents!$C$2:$C$500,$A17,Agents!$I$2:$I$500))</f>
        <v/>
      </c>
      <c r="H17" s="10">
        <f>IF($A17="","",SUMIF(Agents!$C$2:$C$500,$A17,Agents!$K$2:$K$500))</f>
        <v/>
      </c>
      <c r="I17" s="10">
        <f>IF($A17="","",SUM(E17:H17))</f>
        <v/>
      </c>
    </row>
    <row r="18">
      <c r="A18" s="6" t="n"/>
      <c r="B18" s="6" t="n"/>
      <c r="C18" s="6" t="n"/>
      <c r="D18" s="6">
        <f>IF($A18="","",COUNTIF(Agents!$C$2:$C$500,$A18))</f>
        <v/>
      </c>
      <c r="E18" s="8">
        <f>IF($A18="","",SUMIF(Agents!$C$2:$C$500,$A18,Agents!$E$2:$E$500))</f>
        <v/>
      </c>
      <c r="F18" s="8">
        <f>IF($A18="","",SUMIF(Agents!$C$2:$C$500,$A18,Agents!$G$2:$G$500))</f>
        <v/>
      </c>
      <c r="G18" s="8">
        <f>IF($A18="","",SUMIF(Agents!$C$2:$C$500,$A18,Agents!$I$2:$I$500))</f>
        <v/>
      </c>
      <c r="H18" s="8">
        <f>IF($A18="","",SUMIF(Agents!$C$2:$C$500,$A18,Agents!$K$2:$K$500))</f>
        <v/>
      </c>
      <c r="I18" s="8">
        <f>IF($A18="","",SUM(E18:H18))</f>
        <v/>
      </c>
    </row>
    <row r="19">
      <c r="A19" s="9" t="n"/>
      <c r="B19" s="9" t="n"/>
      <c r="C19" s="9" t="n"/>
      <c r="D19" s="9">
        <f>IF($A19="","",COUNTIF(Agents!$C$2:$C$500,$A19))</f>
        <v/>
      </c>
      <c r="E19" s="10">
        <f>IF($A19="","",SUMIF(Agents!$C$2:$C$500,$A19,Agents!$E$2:$E$500))</f>
        <v/>
      </c>
      <c r="F19" s="10">
        <f>IF($A19="","",SUMIF(Agents!$C$2:$C$500,$A19,Agents!$G$2:$G$500))</f>
        <v/>
      </c>
      <c r="G19" s="10">
        <f>IF($A19="","",SUMIF(Agents!$C$2:$C$500,$A19,Agents!$I$2:$I$500))</f>
        <v/>
      </c>
      <c r="H19" s="10">
        <f>IF($A19="","",SUMIF(Agents!$C$2:$C$500,$A19,Agents!$K$2:$K$500))</f>
        <v/>
      </c>
      <c r="I19" s="10">
        <f>IF($A19="","",SUM(E19:H19))</f>
        <v/>
      </c>
    </row>
    <row r="20">
      <c r="A20" s="6" t="n"/>
      <c r="B20" s="6" t="n"/>
      <c r="C20" s="6" t="n"/>
      <c r="D20" s="6">
        <f>IF($A20="","",COUNTIF(Agents!$C$2:$C$500,$A20))</f>
        <v/>
      </c>
      <c r="E20" s="8">
        <f>IF($A20="","",SUMIF(Agents!$C$2:$C$500,$A20,Agents!$E$2:$E$500))</f>
        <v/>
      </c>
      <c r="F20" s="8">
        <f>IF($A20="","",SUMIF(Agents!$C$2:$C$500,$A20,Agents!$G$2:$G$500))</f>
        <v/>
      </c>
      <c r="G20" s="8">
        <f>IF($A20="","",SUMIF(Agents!$C$2:$C$500,$A20,Agents!$I$2:$I$500))</f>
        <v/>
      </c>
      <c r="H20" s="8">
        <f>IF($A20="","",SUMIF(Agents!$C$2:$C$500,$A20,Agents!$K$2:$K$500))</f>
        <v/>
      </c>
      <c r="I20" s="8">
        <f>IF($A20="","",SUM(E20:H20))</f>
        <v/>
      </c>
    </row>
    <row r="21">
      <c r="A21" s="9" t="n"/>
      <c r="B21" s="9" t="n"/>
      <c r="C21" s="9" t="n"/>
      <c r="D21" s="9">
        <f>IF($A21="","",COUNTIF(Agents!$C$2:$C$500,$A21))</f>
        <v/>
      </c>
      <c r="E21" s="10">
        <f>IF($A21="","",SUMIF(Agents!$C$2:$C$500,$A21,Agents!$E$2:$E$500))</f>
        <v/>
      </c>
      <c r="F21" s="10">
        <f>IF($A21="","",SUMIF(Agents!$C$2:$C$500,$A21,Agents!$G$2:$G$500))</f>
        <v/>
      </c>
      <c r="G21" s="10">
        <f>IF($A21="","",SUMIF(Agents!$C$2:$C$500,$A21,Agents!$I$2:$I$500))</f>
        <v/>
      </c>
      <c r="H21" s="10">
        <f>IF($A21="","",SUMIF(Agents!$C$2:$C$500,$A21,Agents!$K$2:$K$500))</f>
        <v/>
      </c>
      <c r="I21" s="10">
        <f>IF($A21="","",SUM(E21:H21))</f>
        <v/>
      </c>
    </row>
    <row r="22">
      <c r="A22" s="6" t="n"/>
      <c r="B22" s="6" t="n"/>
      <c r="C22" s="6" t="n"/>
      <c r="D22" s="6">
        <f>IF($A22="","",COUNTIF(Agents!$C$2:$C$500,$A22))</f>
        <v/>
      </c>
      <c r="E22" s="8">
        <f>IF($A22="","",SUMIF(Agents!$C$2:$C$500,$A22,Agents!$E$2:$E$500))</f>
        <v/>
      </c>
      <c r="F22" s="8">
        <f>IF($A22="","",SUMIF(Agents!$C$2:$C$500,$A22,Agents!$G$2:$G$500))</f>
        <v/>
      </c>
      <c r="G22" s="8">
        <f>IF($A22="","",SUMIF(Agents!$C$2:$C$500,$A22,Agents!$I$2:$I$500))</f>
        <v/>
      </c>
      <c r="H22" s="8">
        <f>IF($A22="","",SUMIF(Agents!$C$2:$C$500,$A22,Agents!$K$2:$K$500))</f>
        <v/>
      </c>
      <c r="I22" s="8">
        <f>IF($A22="","",SUM(E22:H22))</f>
        <v/>
      </c>
    </row>
    <row r="23">
      <c r="A23" s="9" t="n"/>
      <c r="B23" s="9" t="n"/>
      <c r="C23" s="9" t="n"/>
      <c r="D23" s="9">
        <f>IF($A23="","",COUNTIF(Agents!$C$2:$C$500,$A23))</f>
        <v/>
      </c>
      <c r="E23" s="10">
        <f>IF($A23="","",SUMIF(Agents!$C$2:$C$500,$A23,Agents!$E$2:$E$500))</f>
        <v/>
      </c>
      <c r="F23" s="10">
        <f>IF($A23="","",SUMIF(Agents!$C$2:$C$500,$A23,Agents!$G$2:$G$500))</f>
        <v/>
      </c>
      <c r="G23" s="10">
        <f>IF($A23="","",SUMIF(Agents!$C$2:$C$500,$A23,Agents!$I$2:$I$500))</f>
        <v/>
      </c>
      <c r="H23" s="10">
        <f>IF($A23="","",SUMIF(Agents!$C$2:$C$500,$A23,Agents!$K$2:$K$500))</f>
        <v/>
      </c>
      <c r="I23" s="10">
        <f>IF($A23="","",SUM(E23:H23))</f>
        <v/>
      </c>
    </row>
    <row r="24">
      <c r="A24" s="6" t="n"/>
      <c r="B24" s="6" t="n"/>
      <c r="C24" s="6" t="n"/>
      <c r="D24" s="6">
        <f>IF($A24="","",COUNTIF(Agents!$C$2:$C$500,$A24))</f>
        <v/>
      </c>
      <c r="E24" s="8">
        <f>IF($A24="","",SUMIF(Agents!$C$2:$C$500,$A24,Agents!$E$2:$E$500))</f>
        <v/>
      </c>
      <c r="F24" s="8">
        <f>IF($A24="","",SUMIF(Agents!$C$2:$C$500,$A24,Agents!$G$2:$G$500))</f>
        <v/>
      </c>
      <c r="G24" s="8">
        <f>IF($A24="","",SUMIF(Agents!$C$2:$C$500,$A24,Agents!$I$2:$I$500))</f>
        <v/>
      </c>
      <c r="H24" s="8">
        <f>IF($A24="","",SUMIF(Agents!$C$2:$C$500,$A24,Agents!$K$2:$K$500))</f>
        <v/>
      </c>
      <c r="I24" s="8">
        <f>IF($A24="","",SUM(E24:H24))</f>
        <v/>
      </c>
    </row>
    <row r="25">
      <c r="A25" s="9" t="n"/>
      <c r="B25" s="9" t="n"/>
      <c r="C25" s="9" t="n"/>
      <c r="D25" s="9">
        <f>IF($A25="","",COUNTIF(Agents!$C$2:$C$500,$A25))</f>
        <v/>
      </c>
      <c r="E25" s="10">
        <f>IF($A25="","",SUMIF(Agents!$C$2:$C$500,$A25,Agents!$E$2:$E$500))</f>
        <v/>
      </c>
      <c r="F25" s="10">
        <f>IF($A25="","",SUMIF(Agents!$C$2:$C$500,$A25,Agents!$G$2:$G$500))</f>
        <v/>
      </c>
      <c r="G25" s="10">
        <f>IF($A25="","",SUMIF(Agents!$C$2:$C$500,$A25,Agents!$I$2:$I$500))</f>
        <v/>
      </c>
      <c r="H25" s="10">
        <f>IF($A25="","",SUMIF(Agents!$C$2:$C$500,$A25,Agents!$K$2:$K$500))</f>
        <v/>
      </c>
      <c r="I25" s="10">
        <f>IF($A25="","",SUM(E25:H25))</f>
        <v/>
      </c>
    </row>
    <row r="26">
      <c r="A26" s="6" t="n"/>
      <c r="B26" s="6" t="n"/>
      <c r="C26" s="6" t="n"/>
      <c r="D26" s="6">
        <f>IF($A26="","",COUNTIF(Agents!$C$2:$C$500,$A26))</f>
        <v/>
      </c>
      <c r="E26" s="8">
        <f>IF($A26="","",SUMIF(Agents!$C$2:$C$500,$A26,Agents!$E$2:$E$500))</f>
        <v/>
      </c>
      <c r="F26" s="8">
        <f>IF($A26="","",SUMIF(Agents!$C$2:$C$500,$A26,Agents!$G$2:$G$500))</f>
        <v/>
      </c>
      <c r="G26" s="8">
        <f>IF($A26="","",SUMIF(Agents!$C$2:$C$500,$A26,Agents!$I$2:$I$500))</f>
        <v/>
      </c>
      <c r="H26" s="8">
        <f>IF($A26="","",SUMIF(Agents!$C$2:$C$500,$A26,Agents!$K$2:$K$500))</f>
        <v/>
      </c>
      <c r="I26" s="8">
        <f>IF($A26="","",SUM(E26:H26))</f>
        <v/>
      </c>
    </row>
    <row r="27">
      <c r="A27" s="9" t="n"/>
      <c r="B27" s="9" t="n"/>
      <c r="C27" s="9" t="n"/>
      <c r="D27" s="9">
        <f>IF($A27="","",COUNTIF(Agents!$C$2:$C$500,$A27))</f>
        <v/>
      </c>
      <c r="E27" s="10">
        <f>IF($A27="","",SUMIF(Agents!$C$2:$C$500,$A27,Agents!$E$2:$E$500))</f>
        <v/>
      </c>
      <c r="F27" s="10">
        <f>IF($A27="","",SUMIF(Agents!$C$2:$C$500,$A27,Agents!$G$2:$G$500))</f>
        <v/>
      </c>
      <c r="G27" s="10">
        <f>IF($A27="","",SUMIF(Agents!$C$2:$C$500,$A27,Agents!$I$2:$I$500))</f>
        <v/>
      </c>
      <c r="H27" s="10">
        <f>IF($A27="","",SUMIF(Agents!$C$2:$C$500,$A27,Agents!$K$2:$K$500))</f>
        <v/>
      </c>
      <c r="I27" s="10">
        <f>IF($A27="","",SUM(E27:H27))</f>
        <v/>
      </c>
    </row>
    <row r="28">
      <c r="A28" s="6" t="n"/>
      <c r="B28" s="6" t="n"/>
      <c r="C28" s="6" t="n"/>
      <c r="D28" s="6">
        <f>IF($A28="","",COUNTIF(Agents!$C$2:$C$500,$A28))</f>
        <v/>
      </c>
      <c r="E28" s="8">
        <f>IF($A28="","",SUMIF(Agents!$C$2:$C$500,$A28,Agents!$E$2:$E$500))</f>
        <v/>
      </c>
      <c r="F28" s="8">
        <f>IF($A28="","",SUMIF(Agents!$C$2:$C$500,$A28,Agents!$G$2:$G$500))</f>
        <v/>
      </c>
      <c r="G28" s="8">
        <f>IF($A28="","",SUMIF(Agents!$C$2:$C$500,$A28,Agents!$I$2:$I$500))</f>
        <v/>
      </c>
      <c r="H28" s="8">
        <f>IF($A28="","",SUMIF(Agents!$C$2:$C$500,$A28,Agents!$K$2:$K$500))</f>
        <v/>
      </c>
      <c r="I28" s="8">
        <f>IF($A28="","",SUM(E28:H28))</f>
        <v/>
      </c>
    </row>
    <row r="29">
      <c r="A29" s="9" t="n"/>
      <c r="B29" s="9" t="n"/>
      <c r="C29" s="9" t="n"/>
      <c r="D29" s="9">
        <f>IF($A29="","",COUNTIF(Agents!$C$2:$C$500,$A29))</f>
        <v/>
      </c>
      <c r="E29" s="10">
        <f>IF($A29="","",SUMIF(Agents!$C$2:$C$500,$A29,Agents!$E$2:$E$500))</f>
        <v/>
      </c>
      <c r="F29" s="10">
        <f>IF($A29="","",SUMIF(Agents!$C$2:$C$500,$A29,Agents!$G$2:$G$500))</f>
        <v/>
      </c>
      <c r="G29" s="10">
        <f>IF($A29="","",SUMIF(Agents!$C$2:$C$500,$A29,Agents!$I$2:$I$500))</f>
        <v/>
      </c>
      <c r="H29" s="10">
        <f>IF($A29="","",SUMIF(Agents!$C$2:$C$500,$A29,Agents!$K$2:$K$500))</f>
        <v/>
      </c>
      <c r="I29" s="10">
        <f>IF($A29="","",SUM(E29:H29))</f>
        <v/>
      </c>
    </row>
    <row r="30">
      <c r="A30" s="6" t="n"/>
      <c r="B30" s="6" t="n"/>
      <c r="C30" s="6" t="n"/>
      <c r="D30" s="6">
        <f>IF($A30="","",COUNTIF(Agents!$C$2:$C$500,$A30))</f>
        <v/>
      </c>
      <c r="E30" s="8">
        <f>IF($A30="","",SUMIF(Agents!$C$2:$C$500,$A30,Agents!$E$2:$E$500))</f>
        <v/>
      </c>
      <c r="F30" s="8">
        <f>IF($A30="","",SUMIF(Agents!$C$2:$C$500,$A30,Agents!$G$2:$G$500))</f>
        <v/>
      </c>
      <c r="G30" s="8">
        <f>IF($A30="","",SUMIF(Agents!$C$2:$C$500,$A30,Agents!$I$2:$I$500))</f>
        <v/>
      </c>
      <c r="H30" s="8">
        <f>IF($A30="","",SUMIF(Agents!$C$2:$C$500,$A30,Agents!$K$2:$K$500))</f>
        <v/>
      </c>
      <c r="I30" s="8">
        <f>IF($A30="","",SUM(E30:H30))</f>
        <v/>
      </c>
    </row>
    <row r="31">
      <c r="A31" s="9" t="n"/>
      <c r="B31" s="9" t="n"/>
      <c r="C31" s="9" t="n"/>
      <c r="D31" s="9">
        <f>IF($A31="","",COUNTIF(Agents!$C$2:$C$500,$A31))</f>
        <v/>
      </c>
      <c r="E31" s="10">
        <f>IF($A31="","",SUMIF(Agents!$C$2:$C$500,$A31,Agents!$E$2:$E$500))</f>
        <v/>
      </c>
      <c r="F31" s="10">
        <f>IF($A31="","",SUMIF(Agents!$C$2:$C$500,$A31,Agents!$G$2:$G$500))</f>
        <v/>
      </c>
      <c r="G31" s="10">
        <f>IF($A31="","",SUMIF(Agents!$C$2:$C$500,$A31,Agents!$I$2:$I$500))</f>
        <v/>
      </c>
      <c r="H31" s="10">
        <f>IF($A31="","",SUMIF(Agents!$C$2:$C$500,$A31,Agents!$K$2:$K$500))</f>
        <v/>
      </c>
      <c r="I31" s="10">
        <f>IF($A31="","",SUM(E31:H31))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7A4A"/>
    <outlinePr summaryBelow="1" summaryRight="1"/>
    <pageSetUpPr/>
  </sheetPr>
  <dimension ref="A1:M6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2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</cols>
  <sheetData>
    <row r="1" ht="30" customHeight="1">
      <c r="A1" s="5" t="inlineStr">
        <is>
          <t>name</t>
        </is>
      </c>
      <c r="B1" s="5" t="inlineStr">
        <is>
          <t>name_ar</t>
        </is>
      </c>
      <c r="C1" s="5" t="inlineStr">
        <is>
          <t>team</t>
        </is>
      </c>
      <c r="D1" s="5" t="inlineStr">
        <is>
          <t>photo</t>
        </is>
      </c>
      <c r="E1" s="5" t="inlineStr">
        <is>
          <t>q1_target</t>
        </is>
      </c>
      <c r="F1" s="5" t="inlineStr">
        <is>
          <t>q1_deals</t>
        </is>
      </c>
      <c r="G1" s="5" t="inlineStr">
        <is>
          <t>q2_target</t>
        </is>
      </c>
      <c r="H1" s="5" t="inlineStr">
        <is>
          <t>q2_deals</t>
        </is>
      </c>
      <c r="I1" s="5" t="inlineStr">
        <is>
          <t>q3_target</t>
        </is>
      </c>
      <c r="J1" s="5" t="inlineStr">
        <is>
          <t>q3_deals</t>
        </is>
      </c>
      <c r="K1" s="5" t="inlineStr">
        <is>
          <t>q4_target</t>
        </is>
      </c>
      <c r="L1" s="5" t="inlineStr">
        <is>
          <t>q4_deals</t>
        </is>
      </c>
      <c r="M1" s="5" t="inlineStr">
        <is>
          <t>% إنجاز الربع الحالي</t>
        </is>
      </c>
    </row>
    <row r="2">
      <c r="A2" s="6" t="inlineStr">
        <is>
          <t>Omar Khaled</t>
        </is>
      </c>
      <c r="B2" s="6" t="inlineStr">
        <is>
          <t>عمر خالد</t>
        </is>
      </c>
      <c r="C2" s="6" t="inlineStr">
        <is>
          <t>New Capital</t>
        </is>
      </c>
      <c r="D2" s="6" t="n"/>
      <c r="E2" s="8" t="n">
        <v>4000000</v>
      </c>
      <c r="F2" s="8">
        <f>IF($A2="","",SUMIFS('سجل المبيعات'!$C$2:$C$1001,'سجل المبيعات'!$B$2:$B$1001,$A2,'سجل المبيعات'!$H$2:$H$1001,1,'سجل المبيعات'!$G$2:$G$1001,الإعدادات!$B$2))</f>
        <v/>
      </c>
      <c r="G2" s="8" t="n">
        <v>4000000</v>
      </c>
      <c r="H2" s="8">
        <f>IF($A2="","",SUMIFS('سجل المبيعات'!$C$2:$C$1001,'سجل المبيعات'!$B$2:$B$1001,$A2,'سجل المبيعات'!$H$2:$H$1001,2,'سجل المبيعات'!$G$2:$G$1001,الإعدادات!$B$2))</f>
        <v/>
      </c>
      <c r="I2" s="8" t="n">
        <v>4000000</v>
      </c>
      <c r="J2" s="8">
        <f>IF($A2="","",SUMIFS('سجل المبيعات'!$C$2:$C$1001,'سجل المبيعات'!$B$2:$B$1001,$A2,'سجل المبيعات'!$H$2:$H$1001,3,'سجل المبيعات'!$G$2:$G$1001,الإعدادات!$B$2))</f>
        <v/>
      </c>
      <c r="K2" s="8" t="n">
        <v>4000000</v>
      </c>
      <c r="L2" s="8">
        <f>IF($A2="","",SUMIFS('سجل المبيعات'!$C$2:$C$1001,'سجل المبيعات'!$B$2:$B$1001,$A2,'سجل المبيعات'!$H$2:$H$1001,4,'سجل المبيعات'!$G$2:$G$1001,الإعدادات!$B$2))</f>
        <v/>
      </c>
      <c r="M2" s="11">
        <f>IF($A2="","",IFERROR(CHOOSE(ROUNDUP(MONTH(TODAY())/3,0),$F2/$E2,$H2/$G2,$J2/$I2,$L2/$K2),0))</f>
        <v/>
      </c>
    </row>
    <row r="3">
      <c r="A3" s="9" t="inlineStr">
        <is>
          <t>Nour Ibrahim</t>
        </is>
      </c>
      <c r="B3" s="9" t="inlineStr">
        <is>
          <t>نور إبراهيم</t>
        </is>
      </c>
      <c r="C3" s="9" t="inlineStr">
        <is>
          <t>New Capital</t>
        </is>
      </c>
      <c r="D3" s="9" t="n"/>
      <c r="E3" s="10" t="n">
        <v>3500000</v>
      </c>
      <c r="F3" s="10">
        <f>IF($A3="","",SUMIFS('سجل المبيعات'!$C$2:$C$1001,'سجل المبيعات'!$B$2:$B$1001,$A3,'سجل المبيعات'!$H$2:$H$1001,1,'سجل المبيعات'!$G$2:$G$1001,الإعدادات!$B$2))</f>
        <v/>
      </c>
      <c r="G3" s="10" t="n">
        <v>3500000</v>
      </c>
      <c r="H3" s="10">
        <f>IF($A3="","",SUMIFS('سجل المبيعات'!$C$2:$C$1001,'سجل المبيعات'!$B$2:$B$1001,$A3,'سجل المبيعات'!$H$2:$H$1001,2,'سجل المبيعات'!$G$2:$G$1001,الإعدادات!$B$2))</f>
        <v/>
      </c>
      <c r="I3" s="10" t="n">
        <v>3500000</v>
      </c>
      <c r="J3" s="10">
        <f>IF($A3="","",SUMIFS('سجل المبيعات'!$C$2:$C$1001,'سجل المبيعات'!$B$2:$B$1001,$A3,'سجل المبيعات'!$H$2:$H$1001,3,'سجل المبيعات'!$G$2:$G$1001,الإعدادات!$B$2))</f>
        <v/>
      </c>
      <c r="K3" s="10" t="n">
        <v>3500000</v>
      </c>
      <c r="L3" s="10">
        <f>IF($A3="","",SUMIFS('سجل المبيعات'!$C$2:$C$1001,'سجل المبيعات'!$B$2:$B$1001,$A3,'سجل المبيعات'!$H$2:$H$1001,4,'سجل المبيعات'!$G$2:$G$1001,الإعدادات!$B$2))</f>
        <v/>
      </c>
      <c r="M3" s="12">
        <f>IF($A3="","",IFERROR(CHOOSE(ROUNDUP(MONTH(TODAY())/3,0),$F3/$E3,$H3/$G3,$J3/$I3,$L3/$K3),0))</f>
        <v/>
      </c>
    </row>
    <row r="4">
      <c r="A4" s="6" t="inlineStr">
        <is>
          <t>Mariam Adel</t>
        </is>
      </c>
      <c r="B4" s="6" t="inlineStr">
        <is>
          <t>مريم عادل</t>
        </is>
      </c>
      <c r="C4" s="6" t="inlineStr">
        <is>
          <t>North Coast</t>
        </is>
      </c>
      <c r="D4" s="6" t="n"/>
      <c r="E4" s="8" t="n">
        <v>4000000</v>
      </c>
      <c r="F4" s="8">
        <f>IF($A4="","",SUMIFS('سجل المبيعات'!$C$2:$C$1001,'سجل المبيعات'!$B$2:$B$1001,$A4,'سجل المبيعات'!$H$2:$H$1001,1,'سجل المبيعات'!$G$2:$G$1001,الإعدادات!$B$2))</f>
        <v/>
      </c>
      <c r="G4" s="8" t="n">
        <v>4000000</v>
      </c>
      <c r="H4" s="8">
        <f>IF($A4="","",SUMIFS('سجل المبيعات'!$C$2:$C$1001,'سجل المبيعات'!$B$2:$B$1001,$A4,'سجل المبيعات'!$H$2:$H$1001,2,'سجل المبيعات'!$G$2:$G$1001,الإعدادات!$B$2))</f>
        <v/>
      </c>
      <c r="I4" s="8" t="n">
        <v>4000000</v>
      </c>
      <c r="J4" s="8">
        <f>IF($A4="","",SUMIFS('سجل المبيعات'!$C$2:$C$1001,'سجل المبيعات'!$B$2:$B$1001,$A4,'سجل المبيعات'!$H$2:$H$1001,3,'سجل المبيعات'!$G$2:$G$1001,الإعدادات!$B$2))</f>
        <v/>
      </c>
      <c r="K4" s="8" t="n">
        <v>4000000</v>
      </c>
      <c r="L4" s="8">
        <f>IF($A4="","",SUMIFS('سجل المبيعات'!$C$2:$C$1001,'سجل المبيعات'!$B$2:$B$1001,$A4,'سجل المبيعات'!$H$2:$H$1001,4,'سجل المبيعات'!$G$2:$G$1001,الإعدادات!$B$2))</f>
        <v/>
      </c>
      <c r="M4" s="11">
        <f>IF($A4="","",IFERROR(CHOOSE(ROUNDUP(MONTH(TODAY())/3,0),$F4/$E4,$H4/$G4,$J4/$I4,$L4/$K4),0))</f>
        <v/>
      </c>
    </row>
    <row r="5">
      <c r="A5" s="9" t="inlineStr">
        <is>
          <t>Youssef Hassan</t>
        </is>
      </c>
      <c r="B5" s="9" t="inlineStr">
        <is>
          <t>يوسف حسن</t>
        </is>
      </c>
      <c r="C5" s="9" t="inlineStr">
        <is>
          <t>Alexandria</t>
        </is>
      </c>
      <c r="D5" s="9" t="n"/>
      <c r="E5" s="10" t="n">
        <v>3500000</v>
      </c>
      <c r="F5" s="10">
        <f>IF($A5="","",SUMIFS('سجل المبيعات'!$C$2:$C$1001,'سجل المبيعات'!$B$2:$B$1001,$A5,'سجل المبيعات'!$H$2:$H$1001,1,'سجل المبيعات'!$G$2:$G$1001,الإعدادات!$B$2))</f>
        <v/>
      </c>
      <c r="G5" s="10" t="n">
        <v>3500000</v>
      </c>
      <c r="H5" s="10">
        <f>IF($A5="","",SUMIFS('سجل المبيعات'!$C$2:$C$1001,'سجل المبيعات'!$B$2:$B$1001,$A5,'سجل المبيعات'!$H$2:$H$1001,2,'سجل المبيعات'!$G$2:$G$1001,الإعدادات!$B$2))</f>
        <v/>
      </c>
      <c r="I5" s="10" t="n">
        <v>3500000</v>
      </c>
      <c r="J5" s="10">
        <f>IF($A5="","",SUMIFS('سجل المبيعات'!$C$2:$C$1001,'سجل المبيعات'!$B$2:$B$1001,$A5,'سجل المبيعات'!$H$2:$H$1001,3,'سجل المبيعات'!$G$2:$G$1001,الإعدادات!$B$2))</f>
        <v/>
      </c>
      <c r="K5" s="10" t="n">
        <v>3500000</v>
      </c>
      <c r="L5" s="10">
        <f>IF($A5="","",SUMIFS('سجل المبيعات'!$C$2:$C$1001,'سجل المبيعات'!$B$2:$B$1001,$A5,'سجل المبيعات'!$H$2:$H$1001,4,'سجل المبيعات'!$G$2:$G$1001,الإعدادات!$B$2))</f>
        <v/>
      </c>
      <c r="M5" s="12">
        <f>IF($A5="","",IFERROR(CHOOSE(ROUNDUP(MONTH(TODAY())/3,0),$F5/$E5,$H5/$G5,$J5/$I5,$L5/$K5),0))</f>
        <v/>
      </c>
    </row>
    <row r="6">
      <c r="A6" s="6" t="n"/>
      <c r="B6" s="6" t="n"/>
      <c r="C6" s="6" t="n"/>
      <c r="D6" s="6" t="n"/>
      <c r="E6" s="8" t="n"/>
      <c r="F6" s="8">
        <f>IF($A6="","",SUMIFS('سجل المبيعات'!$C$2:$C$1001,'سجل المبيعات'!$B$2:$B$1001,$A6,'سجل المبيعات'!$H$2:$H$1001,1,'سجل المبيعات'!$G$2:$G$1001,الإعدادات!$B$2))</f>
        <v/>
      </c>
      <c r="G6" s="8" t="n"/>
      <c r="H6" s="8">
        <f>IF($A6="","",SUMIFS('سجل المبيعات'!$C$2:$C$1001,'سجل المبيعات'!$B$2:$B$1001,$A6,'سجل المبيعات'!$H$2:$H$1001,2,'سجل المبيعات'!$G$2:$G$1001,الإعدادات!$B$2))</f>
        <v/>
      </c>
      <c r="I6" s="8" t="n"/>
      <c r="J6" s="8">
        <f>IF($A6="","",SUMIFS('سجل المبيعات'!$C$2:$C$1001,'سجل المبيعات'!$B$2:$B$1001,$A6,'سجل المبيعات'!$H$2:$H$1001,3,'سجل المبيعات'!$G$2:$G$1001,الإعدادات!$B$2))</f>
        <v/>
      </c>
      <c r="K6" s="8" t="n"/>
      <c r="L6" s="8">
        <f>IF($A6="","",SUMIFS('سجل المبيعات'!$C$2:$C$1001,'سجل المبيعات'!$B$2:$B$1001,$A6,'سجل المبيعات'!$H$2:$H$1001,4,'سجل المبيعات'!$G$2:$G$1001,الإعدادات!$B$2))</f>
        <v/>
      </c>
      <c r="M6" s="11">
        <f>IF($A6="","",IFERROR(CHOOSE(ROUNDUP(MONTH(TODAY())/3,0),$F6/$E6,$H6/$G6,$J6/$I6,$L6/$K6),0))</f>
        <v/>
      </c>
    </row>
    <row r="7">
      <c r="A7" s="9" t="n"/>
      <c r="B7" s="9" t="n"/>
      <c r="C7" s="9" t="n"/>
      <c r="D7" s="9" t="n"/>
      <c r="E7" s="10" t="n"/>
      <c r="F7" s="10">
        <f>IF($A7="","",SUMIFS('سجل المبيعات'!$C$2:$C$1001,'سجل المبيعات'!$B$2:$B$1001,$A7,'سجل المبيعات'!$H$2:$H$1001,1,'سجل المبيعات'!$G$2:$G$1001,الإعدادات!$B$2))</f>
        <v/>
      </c>
      <c r="G7" s="10" t="n"/>
      <c r="H7" s="10">
        <f>IF($A7="","",SUMIFS('سجل المبيعات'!$C$2:$C$1001,'سجل المبيعات'!$B$2:$B$1001,$A7,'سجل المبيعات'!$H$2:$H$1001,2,'سجل المبيعات'!$G$2:$G$1001,الإعدادات!$B$2))</f>
        <v/>
      </c>
      <c r="I7" s="10" t="n"/>
      <c r="J7" s="10">
        <f>IF($A7="","",SUMIFS('سجل المبيعات'!$C$2:$C$1001,'سجل المبيعات'!$B$2:$B$1001,$A7,'سجل المبيعات'!$H$2:$H$1001,3,'سجل المبيعات'!$G$2:$G$1001,الإعدادات!$B$2))</f>
        <v/>
      </c>
      <c r="K7" s="10" t="n"/>
      <c r="L7" s="10">
        <f>IF($A7="","",SUMIFS('سجل المبيعات'!$C$2:$C$1001,'سجل المبيعات'!$B$2:$B$1001,$A7,'سجل المبيعات'!$H$2:$H$1001,4,'سجل المبيعات'!$G$2:$G$1001,الإعدادات!$B$2))</f>
        <v/>
      </c>
      <c r="M7" s="12">
        <f>IF($A7="","",IFERROR(CHOOSE(ROUNDUP(MONTH(TODAY())/3,0),$F7/$E7,$H7/$G7,$J7/$I7,$L7/$K7),0))</f>
        <v/>
      </c>
    </row>
    <row r="8">
      <c r="A8" s="6" t="n"/>
      <c r="B8" s="6" t="n"/>
      <c r="C8" s="6" t="n"/>
      <c r="D8" s="6" t="n"/>
      <c r="E8" s="8" t="n"/>
      <c r="F8" s="8">
        <f>IF($A8="","",SUMIFS('سجل المبيعات'!$C$2:$C$1001,'سجل المبيعات'!$B$2:$B$1001,$A8,'سجل المبيعات'!$H$2:$H$1001,1,'سجل المبيعات'!$G$2:$G$1001,الإعدادات!$B$2))</f>
        <v/>
      </c>
      <c r="G8" s="8" t="n"/>
      <c r="H8" s="8">
        <f>IF($A8="","",SUMIFS('سجل المبيعات'!$C$2:$C$1001,'سجل المبيعات'!$B$2:$B$1001,$A8,'سجل المبيعات'!$H$2:$H$1001,2,'سجل المبيعات'!$G$2:$G$1001,الإعدادات!$B$2))</f>
        <v/>
      </c>
      <c r="I8" s="8" t="n"/>
      <c r="J8" s="8">
        <f>IF($A8="","",SUMIFS('سجل المبيعات'!$C$2:$C$1001,'سجل المبيعات'!$B$2:$B$1001,$A8,'سجل المبيعات'!$H$2:$H$1001,3,'سجل المبيعات'!$G$2:$G$1001,الإعدادات!$B$2))</f>
        <v/>
      </c>
      <c r="K8" s="8" t="n"/>
      <c r="L8" s="8">
        <f>IF($A8="","",SUMIFS('سجل المبيعات'!$C$2:$C$1001,'سجل المبيعات'!$B$2:$B$1001,$A8,'سجل المبيعات'!$H$2:$H$1001,4,'سجل المبيعات'!$G$2:$G$1001,الإعدادات!$B$2))</f>
        <v/>
      </c>
      <c r="M8" s="11">
        <f>IF($A8="","",IFERROR(CHOOSE(ROUNDUP(MONTH(TODAY())/3,0),$F8/$E8,$H8/$G8,$J8/$I8,$L8/$K8),0))</f>
        <v/>
      </c>
    </row>
    <row r="9">
      <c r="A9" s="9" t="n"/>
      <c r="B9" s="9" t="n"/>
      <c r="C9" s="9" t="n"/>
      <c r="D9" s="9" t="n"/>
      <c r="E9" s="10" t="n"/>
      <c r="F9" s="10">
        <f>IF($A9="","",SUMIFS('سجل المبيعات'!$C$2:$C$1001,'سجل المبيعات'!$B$2:$B$1001,$A9,'سجل المبيعات'!$H$2:$H$1001,1,'سجل المبيعات'!$G$2:$G$1001,الإعدادات!$B$2))</f>
        <v/>
      </c>
      <c r="G9" s="10" t="n"/>
      <c r="H9" s="10">
        <f>IF($A9="","",SUMIFS('سجل المبيعات'!$C$2:$C$1001,'سجل المبيعات'!$B$2:$B$1001,$A9,'سجل المبيعات'!$H$2:$H$1001,2,'سجل المبيعات'!$G$2:$G$1001,الإعدادات!$B$2))</f>
        <v/>
      </c>
      <c r="I9" s="10" t="n"/>
      <c r="J9" s="10">
        <f>IF($A9="","",SUMIFS('سجل المبيعات'!$C$2:$C$1001,'سجل المبيعات'!$B$2:$B$1001,$A9,'سجل المبيعات'!$H$2:$H$1001,3,'سجل المبيعات'!$G$2:$G$1001,الإعدادات!$B$2))</f>
        <v/>
      </c>
      <c r="K9" s="10" t="n"/>
      <c r="L9" s="10">
        <f>IF($A9="","",SUMIFS('سجل المبيعات'!$C$2:$C$1001,'سجل المبيعات'!$B$2:$B$1001,$A9,'سجل المبيعات'!$H$2:$H$1001,4,'سجل المبيعات'!$G$2:$G$1001,الإعدادات!$B$2))</f>
        <v/>
      </c>
      <c r="M9" s="12">
        <f>IF($A9="","",IFERROR(CHOOSE(ROUNDUP(MONTH(TODAY())/3,0),$F9/$E9,$H9/$G9,$J9/$I9,$L9/$K9),0))</f>
        <v/>
      </c>
    </row>
    <row r="10">
      <c r="A10" s="6" t="n"/>
      <c r="B10" s="6" t="n"/>
      <c r="C10" s="6" t="n"/>
      <c r="D10" s="6" t="n"/>
      <c r="E10" s="8" t="n"/>
      <c r="F10" s="8">
        <f>IF($A10="","",SUMIFS('سجل المبيعات'!$C$2:$C$1001,'سجل المبيعات'!$B$2:$B$1001,$A10,'سجل المبيعات'!$H$2:$H$1001,1,'سجل المبيعات'!$G$2:$G$1001,الإعدادات!$B$2))</f>
        <v/>
      </c>
      <c r="G10" s="8" t="n"/>
      <c r="H10" s="8">
        <f>IF($A10="","",SUMIFS('سجل المبيعات'!$C$2:$C$1001,'سجل المبيعات'!$B$2:$B$1001,$A10,'سجل المبيعات'!$H$2:$H$1001,2,'سجل المبيعات'!$G$2:$G$1001,الإعدادات!$B$2))</f>
        <v/>
      </c>
      <c r="I10" s="8" t="n"/>
      <c r="J10" s="8">
        <f>IF($A10="","",SUMIFS('سجل المبيعات'!$C$2:$C$1001,'سجل المبيعات'!$B$2:$B$1001,$A10,'سجل المبيعات'!$H$2:$H$1001,3,'سجل المبيعات'!$G$2:$G$1001,الإعدادات!$B$2))</f>
        <v/>
      </c>
      <c r="K10" s="8" t="n"/>
      <c r="L10" s="8">
        <f>IF($A10="","",SUMIFS('سجل المبيعات'!$C$2:$C$1001,'سجل المبيعات'!$B$2:$B$1001,$A10,'سجل المبيعات'!$H$2:$H$1001,4,'سجل المبيعات'!$G$2:$G$1001,الإعدادات!$B$2))</f>
        <v/>
      </c>
      <c r="M10" s="11">
        <f>IF($A10="","",IFERROR(CHOOSE(ROUNDUP(MONTH(TODAY())/3,0),$F10/$E10,$H10/$G10,$J10/$I10,$L10/$K10),0))</f>
        <v/>
      </c>
    </row>
    <row r="11">
      <c r="A11" s="9" t="n"/>
      <c r="B11" s="9" t="n"/>
      <c r="C11" s="9" t="n"/>
      <c r="D11" s="9" t="n"/>
      <c r="E11" s="10" t="n"/>
      <c r="F11" s="10">
        <f>IF($A11="","",SUMIFS('سجل المبيعات'!$C$2:$C$1001,'سجل المبيعات'!$B$2:$B$1001,$A11,'سجل المبيعات'!$H$2:$H$1001,1,'سجل المبيعات'!$G$2:$G$1001,الإعدادات!$B$2))</f>
        <v/>
      </c>
      <c r="G11" s="10" t="n"/>
      <c r="H11" s="10">
        <f>IF($A11="","",SUMIFS('سجل المبيعات'!$C$2:$C$1001,'سجل المبيعات'!$B$2:$B$1001,$A11,'سجل المبيعات'!$H$2:$H$1001,2,'سجل المبيعات'!$G$2:$G$1001,الإعدادات!$B$2))</f>
        <v/>
      </c>
      <c r="I11" s="10" t="n"/>
      <c r="J11" s="10">
        <f>IF($A11="","",SUMIFS('سجل المبيعات'!$C$2:$C$1001,'سجل المبيعات'!$B$2:$B$1001,$A11,'سجل المبيعات'!$H$2:$H$1001,3,'سجل المبيعات'!$G$2:$G$1001,الإعدادات!$B$2))</f>
        <v/>
      </c>
      <c r="K11" s="10" t="n"/>
      <c r="L11" s="10">
        <f>IF($A11="","",SUMIFS('سجل المبيعات'!$C$2:$C$1001,'سجل المبيعات'!$B$2:$B$1001,$A11,'سجل المبيعات'!$H$2:$H$1001,4,'سجل المبيعات'!$G$2:$G$1001,الإعدادات!$B$2))</f>
        <v/>
      </c>
      <c r="M11" s="12">
        <f>IF($A11="","",IFERROR(CHOOSE(ROUNDUP(MONTH(TODAY())/3,0),$F11/$E11,$H11/$G11,$J11/$I11,$L11/$K11),0))</f>
        <v/>
      </c>
    </row>
    <row r="12">
      <c r="A12" s="6" t="n"/>
      <c r="B12" s="6" t="n"/>
      <c r="C12" s="6" t="n"/>
      <c r="D12" s="6" t="n"/>
      <c r="E12" s="8" t="n"/>
      <c r="F12" s="8">
        <f>IF($A12="","",SUMIFS('سجل المبيعات'!$C$2:$C$1001,'سجل المبيعات'!$B$2:$B$1001,$A12,'سجل المبيعات'!$H$2:$H$1001,1,'سجل المبيعات'!$G$2:$G$1001,الإعدادات!$B$2))</f>
        <v/>
      </c>
      <c r="G12" s="8" t="n"/>
      <c r="H12" s="8">
        <f>IF($A12="","",SUMIFS('سجل المبيعات'!$C$2:$C$1001,'سجل المبيعات'!$B$2:$B$1001,$A12,'سجل المبيعات'!$H$2:$H$1001,2,'سجل المبيعات'!$G$2:$G$1001,الإعدادات!$B$2))</f>
        <v/>
      </c>
      <c r="I12" s="8" t="n"/>
      <c r="J12" s="8">
        <f>IF($A12="","",SUMIFS('سجل المبيعات'!$C$2:$C$1001,'سجل المبيعات'!$B$2:$B$1001,$A12,'سجل المبيعات'!$H$2:$H$1001,3,'سجل المبيعات'!$G$2:$G$1001,الإعدادات!$B$2))</f>
        <v/>
      </c>
      <c r="K12" s="8" t="n"/>
      <c r="L12" s="8">
        <f>IF($A12="","",SUMIFS('سجل المبيعات'!$C$2:$C$1001,'سجل المبيعات'!$B$2:$B$1001,$A12,'سجل المبيعات'!$H$2:$H$1001,4,'سجل المبيعات'!$G$2:$G$1001,الإعدادات!$B$2))</f>
        <v/>
      </c>
      <c r="M12" s="11">
        <f>IF($A12="","",IFERROR(CHOOSE(ROUNDUP(MONTH(TODAY())/3,0),$F12/$E12,$H12/$G12,$J12/$I12,$L12/$K12),0))</f>
        <v/>
      </c>
    </row>
    <row r="13">
      <c r="A13" s="9" t="n"/>
      <c r="B13" s="9" t="n"/>
      <c r="C13" s="9" t="n"/>
      <c r="D13" s="9" t="n"/>
      <c r="E13" s="10" t="n"/>
      <c r="F13" s="10">
        <f>IF($A13="","",SUMIFS('سجل المبيعات'!$C$2:$C$1001,'سجل المبيعات'!$B$2:$B$1001,$A13,'سجل المبيعات'!$H$2:$H$1001,1,'سجل المبيعات'!$G$2:$G$1001,الإعدادات!$B$2))</f>
        <v/>
      </c>
      <c r="G13" s="10" t="n"/>
      <c r="H13" s="10">
        <f>IF($A13="","",SUMIFS('سجل المبيعات'!$C$2:$C$1001,'سجل المبيعات'!$B$2:$B$1001,$A13,'سجل المبيعات'!$H$2:$H$1001,2,'سجل المبيعات'!$G$2:$G$1001,الإعدادات!$B$2))</f>
        <v/>
      </c>
      <c r="I13" s="10" t="n"/>
      <c r="J13" s="10">
        <f>IF($A13="","",SUMIFS('سجل المبيعات'!$C$2:$C$1001,'سجل المبيعات'!$B$2:$B$1001,$A13,'سجل المبيعات'!$H$2:$H$1001,3,'سجل المبيعات'!$G$2:$G$1001,الإعدادات!$B$2))</f>
        <v/>
      </c>
      <c r="K13" s="10" t="n"/>
      <c r="L13" s="10">
        <f>IF($A13="","",SUMIFS('سجل المبيعات'!$C$2:$C$1001,'سجل المبيعات'!$B$2:$B$1001,$A13,'سجل المبيعات'!$H$2:$H$1001,4,'سجل المبيعات'!$G$2:$G$1001,الإعدادات!$B$2))</f>
        <v/>
      </c>
      <c r="M13" s="12">
        <f>IF($A13="","",IFERROR(CHOOSE(ROUNDUP(MONTH(TODAY())/3,0),$F13/$E13,$H13/$G13,$J13/$I13,$L13/$K13),0))</f>
        <v/>
      </c>
    </row>
    <row r="14">
      <c r="A14" s="6" t="n"/>
      <c r="B14" s="6" t="n"/>
      <c r="C14" s="6" t="n"/>
      <c r="D14" s="6" t="n"/>
      <c r="E14" s="8" t="n"/>
      <c r="F14" s="8">
        <f>IF($A14="","",SUMIFS('سجل المبيعات'!$C$2:$C$1001,'سجل المبيعات'!$B$2:$B$1001,$A14,'سجل المبيعات'!$H$2:$H$1001,1,'سجل المبيعات'!$G$2:$G$1001,الإعدادات!$B$2))</f>
        <v/>
      </c>
      <c r="G14" s="8" t="n"/>
      <c r="H14" s="8">
        <f>IF($A14="","",SUMIFS('سجل المبيعات'!$C$2:$C$1001,'سجل المبيعات'!$B$2:$B$1001,$A14,'سجل المبيعات'!$H$2:$H$1001,2,'سجل المبيعات'!$G$2:$G$1001,الإعدادات!$B$2))</f>
        <v/>
      </c>
      <c r="I14" s="8" t="n"/>
      <c r="J14" s="8">
        <f>IF($A14="","",SUMIFS('سجل المبيعات'!$C$2:$C$1001,'سجل المبيعات'!$B$2:$B$1001,$A14,'سجل المبيعات'!$H$2:$H$1001,3,'سجل المبيعات'!$G$2:$G$1001,الإعدادات!$B$2))</f>
        <v/>
      </c>
      <c r="K14" s="8" t="n"/>
      <c r="L14" s="8">
        <f>IF($A14="","",SUMIFS('سجل المبيعات'!$C$2:$C$1001,'سجل المبيعات'!$B$2:$B$1001,$A14,'سجل المبيعات'!$H$2:$H$1001,4,'سجل المبيعات'!$G$2:$G$1001,الإعدادات!$B$2))</f>
        <v/>
      </c>
      <c r="M14" s="11">
        <f>IF($A14="","",IFERROR(CHOOSE(ROUNDUP(MONTH(TODAY())/3,0),$F14/$E14,$H14/$G14,$J14/$I14,$L14/$K14),0))</f>
        <v/>
      </c>
    </row>
    <row r="15">
      <c r="A15" s="9" t="n"/>
      <c r="B15" s="9" t="n"/>
      <c r="C15" s="9" t="n"/>
      <c r="D15" s="9" t="n"/>
      <c r="E15" s="10" t="n"/>
      <c r="F15" s="10">
        <f>IF($A15="","",SUMIFS('سجل المبيعات'!$C$2:$C$1001,'سجل المبيعات'!$B$2:$B$1001,$A15,'سجل المبيعات'!$H$2:$H$1001,1,'سجل المبيعات'!$G$2:$G$1001,الإعدادات!$B$2))</f>
        <v/>
      </c>
      <c r="G15" s="10" t="n"/>
      <c r="H15" s="10">
        <f>IF($A15="","",SUMIFS('سجل المبيعات'!$C$2:$C$1001,'سجل المبيعات'!$B$2:$B$1001,$A15,'سجل المبيعات'!$H$2:$H$1001,2,'سجل المبيعات'!$G$2:$G$1001,الإعدادات!$B$2))</f>
        <v/>
      </c>
      <c r="I15" s="10" t="n"/>
      <c r="J15" s="10">
        <f>IF($A15="","",SUMIFS('سجل المبيعات'!$C$2:$C$1001,'سجل المبيعات'!$B$2:$B$1001,$A15,'سجل المبيعات'!$H$2:$H$1001,3,'سجل المبيعات'!$G$2:$G$1001,الإعدادات!$B$2))</f>
        <v/>
      </c>
      <c r="K15" s="10" t="n"/>
      <c r="L15" s="10">
        <f>IF($A15="","",SUMIFS('سجل المبيعات'!$C$2:$C$1001,'سجل المبيعات'!$B$2:$B$1001,$A15,'سجل المبيعات'!$H$2:$H$1001,4,'سجل المبيعات'!$G$2:$G$1001,الإعدادات!$B$2))</f>
        <v/>
      </c>
      <c r="M15" s="12">
        <f>IF($A15="","",IFERROR(CHOOSE(ROUNDUP(MONTH(TODAY())/3,0),$F15/$E15,$H15/$G15,$J15/$I15,$L15/$K15),0))</f>
        <v/>
      </c>
    </row>
    <row r="16">
      <c r="A16" s="6" t="n"/>
      <c r="B16" s="6" t="n"/>
      <c r="C16" s="6" t="n"/>
      <c r="D16" s="6" t="n"/>
      <c r="E16" s="8" t="n"/>
      <c r="F16" s="8">
        <f>IF($A16="","",SUMIFS('سجل المبيعات'!$C$2:$C$1001,'سجل المبيعات'!$B$2:$B$1001,$A16,'سجل المبيعات'!$H$2:$H$1001,1,'سجل المبيعات'!$G$2:$G$1001,الإعدادات!$B$2))</f>
        <v/>
      </c>
      <c r="G16" s="8" t="n"/>
      <c r="H16" s="8">
        <f>IF($A16="","",SUMIFS('سجل المبيعات'!$C$2:$C$1001,'سجل المبيعات'!$B$2:$B$1001,$A16,'سجل المبيعات'!$H$2:$H$1001,2,'سجل المبيعات'!$G$2:$G$1001,الإعدادات!$B$2))</f>
        <v/>
      </c>
      <c r="I16" s="8" t="n"/>
      <c r="J16" s="8">
        <f>IF($A16="","",SUMIFS('سجل المبيعات'!$C$2:$C$1001,'سجل المبيعات'!$B$2:$B$1001,$A16,'سجل المبيعات'!$H$2:$H$1001,3,'سجل المبيعات'!$G$2:$G$1001,الإعدادات!$B$2))</f>
        <v/>
      </c>
      <c r="K16" s="8" t="n"/>
      <c r="L16" s="8">
        <f>IF($A16="","",SUMIFS('سجل المبيعات'!$C$2:$C$1001,'سجل المبيعات'!$B$2:$B$1001,$A16,'سجل المبيعات'!$H$2:$H$1001,4,'سجل المبيعات'!$G$2:$G$1001,الإعدادات!$B$2))</f>
        <v/>
      </c>
      <c r="M16" s="11">
        <f>IF($A16="","",IFERROR(CHOOSE(ROUNDUP(MONTH(TODAY())/3,0),$F16/$E16,$H16/$G16,$J16/$I16,$L16/$K16),0))</f>
        <v/>
      </c>
    </row>
    <row r="17">
      <c r="A17" s="9" t="n"/>
      <c r="B17" s="9" t="n"/>
      <c r="C17" s="9" t="n"/>
      <c r="D17" s="9" t="n"/>
      <c r="E17" s="10" t="n"/>
      <c r="F17" s="10">
        <f>IF($A17="","",SUMIFS('سجل المبيعات'!$C$2:$C$1001,'سجل المبيعات'!$B$2:$B$1001,$A17,'سجل المبيعات'!$H$2:$H$1001,1,'سجل المبيعات'!$G$2:$G$1001,الإعدادات!$B$2))</f>
        <v/>
      </c>
      <c r="G17" s="10" t="n"/>
      <c r="H17" s="10">
        <f>IF($A17="","",SUMIFS('سجل المبيعات'!$C$2:$C$1001,'سجل المبيعات'!$B$2:$B$1001,$A17,'سجل المبيعات'!$H$2:$H$1001,2,'سجل المبيعات'!$G$2:$G$1001,الإعدادات!$B$2))</f>
        <v/>
      </c>
      <c r="I17" s="10" t="n"/>
      <c r="J17" s="10">
        <f>IF($A17="","",SUMIFS('سجل المبيعات'!$C$2:$C$1001,'سجل المبيعات'!$B$2:$B$1001,$A17,'سجل المبيعات'!$H$2:$H$1001,3,'سجل المبيعات'!$G$2:$G$1001,الإعدادات!$B$2))</f>
        <v/>
      </c>
      <c r="K17" s="10" t="n"/>
      <c r="L17" s="10">
        <f>IF($A17="","",SUMIFS('سجل المبيعات'!$C$2:$C$1001,'سجل المبيعات'!$B$2:$B$1001,$A17,'سجل المبيعات'!$H$2:$H$1001,4,'سجل المبيعات'!$G$2:$G$1001,الإعدادات!$B$2))</f>
        <v/>
      </c>
      <c r="M17" s="12">
        <f>IF($A17="","",IFERROR(CHOOSE(ROUNDUP(MONTH(TODAY())/3,0),$F17/$E17,$H17/$G17,$J17/$I17,$L17/$K17),0))</f>
        <v/>
      </c>
    </row>
    <row r="18">
      <c r="A18" s="6" t="n"/>
      <c r="B18" s="6" t="n"/>
      <c r="C18" s="6" t="n"/>
      <c r="D18" s="6" t="n"/>
      <c r="E18" s="8" t="n"/>
      <c r="F18" s="8">
        <f>IF($A18="","",SUMIFS('سجل المبيعات'!$C$2:$C$1001,'سجل المبيعات'!$B$2:$B$1001,$A18,'سجل المبيعات'!$H$2:$H$1001,1,'سجل المبيعات'!$G$2:$G$1001,الإعدادات!$B$2))</f>
        <v/>
      </c>
      <c r="G18" s="8" t="n"/>
      <c r="H18" s="8">
        <f>IF($A18="","",SUMIFS('سجل المبيعات'!$C$2:$C$1001,'سجل المبيعات'!$B$2:$B$1001,$A18,'سجل المبيعات'!$H$2:$H$1001,2,'سجل المبيعات'!$G$2:$G$1001,الإعدادات!$B$2))</f>
        <v/>
      </c>
      <c r="I18" s="8" t="n"/>
      <c r="J18" s="8">
        <f>IF($A18="","",SUMIFS('سجل المبيعات'!$C$2:$C$1001,'سجل المبيعات'!$B$2:$B$1001,$A18,'سجل المبيعات'!$H$2:$H$1001,3,'سجل المبيعات'!$G$2:$G$1001,الإعدادات!$B$2))</f>
        <v/>
      </c>
      <c r="K18" s="8" t="n"/>
      <c r="L18" s="8">
        <f>IF($A18="","",SUMIFS('سجل المبيعات'!$C$2:$C$1001,'سجل المبيعات'!$B$2:$B$1001,$A18,'سجل المبيعات'!$H$2:$H$1001,4,'سجل المبيعات'!$G$2:$G$1001,الإعدادات!$B$2))</f>
        <v/>
      </c>
      <c r="M18" s="11">
        <f>IF($A18="","",IFERROR(CHOOSE(ROUNDUP(MONTH(TODAY())/3,0),$F18/$E18,$H18/$G18,$J18/$I18,$L18/$K18),0))</f>
        <v/>
      </c>
    </row>
    <row r="19">
      <c r="A19" s="9" t="n"/>
      <c r="B19" s="9" t="n"/>
      <c r="C19" s="9" t="n"/>
      <c r="D19" s="9" t="n"/>
      <c r="E19" s="10" t="n"/>
      <c r="F19" s="10">
        <f>IF($A19="","",SUMIFS('سجل المبيعات'!$C$2:$C$1001,'سجل المبيعات'!$B$2:$B$1001,$A19,'سجل المبيعات'!$H$2:$H$1001,1,'سجل المبيعات'!$G$2:$G$1001,الإعدادات!$B$2))</f>
        <v/>
      </c>
      <c r="G19" s="10" t="n"/>
      <c r="H19" s="10">
        <f>IF($A19="","",SUMIFS('سجل المبيعات'!$C$2:$C$1001,'سجل المبيعات'!$B$2:$B$1001,$A19,'سجل المبيعات'!$H$2:$H$1001,2,'سجل المبيعات'!$G$2:$G$1001,الإعدادات!$B$2))</f>
        <v/>
      </c>
      <c r="I19" s="10" t="n"/>
      <c r="J19" s="10">
        <f>IF($A19="","",SUMIFS('سجل المبيعات'!$C$2:$C$1001,'سجل المبيعات'!$B$2:$B$1001,$A19,'سجل المبيعات'!$H$2:$H$1001,3,'سجل المبيعات'!$G$2:$G$1001,الإعدادات!$B$2))</f>
        <v/>
      </c>
      <c r="K19" s="10" t="n"/>
      <c r="L19" s="10">
        <f>IF($A19="","",SUMIFS('سجل المبيعات'!$C$2:$C$1001,'سجل المبيعات'!$B$2:$B$1001,$A19,'سجل المبيعات'!$H$2:$H$1001,4,'سجل المبيعات'!$G$2:$G$1001,الإعدادات!$B$2))</f>
        <v/>
      </c>
      <c r="M19" s="12">
        <f>IF($A19="","",IFERROR(CHOOSE(ROUNDUP(MONTH(TODAY())/3,0),$F19/$E19,$H19/$G19,$J19/$I19,$L19/$K19),0))</f>
        <v/>
      </c>
    </row>
    <row r="20">
      <c r="A20" s="6" t="n"/>
      <c r="B20" s="6" t="n"/>
      <c r="C20" s="6" t="n"/>
      <c r="D20" s="6" t="n"/>
      <c r="E20" s="8" t="n"/>
      <c r="F20" s="8">
        <f>IF($A20="","",SUMIFS('سجل المبيعات'!$C$2:$C$1001,'سجل المبيعات'!$B$2:$B$1001,$A20,'سجل المبيعات'!$H$2:$H$1001,1,'سجل المبيعات'!$G$2:$G$1001,الإعدادات!$B$2))</f>
        <v/>
      </c>
      <c r="G20" s="8" t="n"/>
      <c r="H20" s="8">
        <f>IF($A20="","",SUMIFS('سجل المبيعات'!$C$2:$C$1001,'سجل المبيعات'!$B$2:$B$1001,$A20,'سجل المبيعات'!$H$2:$H$1001,2,'سجل المبيعات'!$G$2:$G$1001,الإعدادات!$B$2))</f>
        <v/>
      </c>
      <c r="I20" s="8" t="n"/>
      <c r="J20" s="8">
        <f>IF($A20="","",SUMIFS('سجل المبيعات'!$C$2:$C$1001,'سجل المبيعات'!$B$2:$B$1001,$A20,'سجل المبيعات'!$H$2:$H$1001,3,'سجل المبيعات'!$G$2:$G$1001,الإعدادات!$B$2))</f>
        <v/>
      </c>
      <c r="K20" s="8" t="n"/>
      <c r="L20" s="8">
        <f>IF($A20="","",SUMIFS('سجل المبيعات'!$C$2:$C$1001,'سجل المبيعات'!$B$2:$B$1001,$A20,'سجل المبيعات'!$H$2:$H$1001,4,'سجل المبيعات'!$G$2:$G$1001,الإعدادات!$B$2))</f>
        <v/>
      </c>
      <c r="M20" s="11">
        <f>IF($A20="","",IFERROR(CHOOSE(ROUNDUP(MONTH(TODAY())/3,0),$F20/$E20,$H20/$G20,$J20/$I20,$L20/$K20),0))</f>
        <v/>
      </c>
    </row>
    <row r="21">
      <c r="A21" s="9" t="n"/>
      <c r="B21" s="9" t="n"/>
      <c r="C21" s="9" t="n"/>
      <c r="D21" s="9" t="n"/>
      <c r="E21" s="10" t="n"/>
      <c r="F21" s="10">
        <f>IF($A21="","",SUMIFS('سجل المبيعات'!$C$2:$C$1001,'سجل المبيعات'!$B$2:$B$1001,$A21,'سجل المبيعات'!$H$2:$H$1001,1,'سجل المبيعات'!$G$2:$G$1001,الإعدادات!$B$2))</f>
        <v/>
      </c>
      <c r="G21" s="10" t="n"/>
      <c r="H21" s="10">
        <f>IF($A21="","",SUMIFS('سجل المبيعات'!$C$2:$C$1001,'سجل المبيعات'!$B$2:$B$1001,$A21,'سجل المبيعات'!$H$2:$H$1001,2,'سجل المبيعات'!$G$2:$G$1001,الإعدادات!$B$2))</f>
        <v/>
      </c>
      <c r="I21" s="10" t="n"/>
      <c r="J21" s="10">
        <f>IF($A21="","",SUMIFS('سجل المبيعات'!$C$2:$C$1001,'سجل المبيعات'!$B$2:$B$1001,$A21,'سجل المبيعات'!$H$2:$H$1001,3,'سجل المبيعات'!$G$2:$G$1001,الإعدادات!$B$2))</f>
        <v/>
      </c>
      <c r="K21" s="10" t="n"/>
      <c r="L21" s="10">
        <f>IF($A21="","",SUMIFS('سجل المبيعات'!$C$2:$C$1001,'سجل المبيعات'!$B$2:$B$1001,$A21,'سجل المبيعات'!$H$2:$H$1001,4,'سجل المبيعات'!$G$2:$G$1001,الإعدادات!$B$2))</f>
        <v/>
      </c>
      <c r="M21" s="12">
        <f>IF($A21="","",IFERROR(CHOOSE(ROUNDUP(MONTH(TODAY())/3,0),$F21/$E21,$H21/$G21,$J21/$I21,$L21/$K21),0))</f>
        <v/>
      </c>
    </row>
    <row r="22">
      <c r="A22" s="6" t="n"/>
      <c r="B22" s="6" t="n"/>
      <c r="C22" s="6" t="n"/>
      <c r="D22" s="6" t="n"/>
      <c r="E22" s="8" t="n"/>
      <c r="F22" s="8">
        <f>IF($A22="","",SUMIFS('سجل المبيعات'!$C$2:$C$1001,'سجل المبيعات'!$B$2:$B$1001,$A22,'سجل المبيعات'!$H$2:$H$1001,1,'سجل المبيعات'!$G$2:$G$1001,الإعدادات!$B$2))</f>
        <v/>
      </c>
      <c r="G22" s="8" t="n"/>
      <c r="H22" s="8">
        <f>IF($A22="","",SUMIFS('سجل المبيعات'!$C$2:$C$1001,'سجل المبيعات'!$B$2:$B$1001,$A22,'سجل المبيعات'!$H$2:$H$1001,2,'سجل المبيعات'!$G$2:$G$1001,الإعدادات!$B$2))</f>
        <v/>
      </c>
      <c r="I22" s="8" t="n"/>
      <c r="J22" s="8">
        <f>IF($A22="","",SUMIFS('سجل المبيعات'!$C$2:$C$1001,'سجل المبيعات'!$B$2:$B$1001,$A22,'سجل المبيعات'!$H$2:$H$1001,3,'سجل المبيعات'!$G$2:$G$1001,الإعدادات!$B$2))</f>
        <v/>
      </c>
      <c r="K22" s="8" t="n"/>
      <c r="L22" s="8">
        <f>IF($A22="","",SUMIFS('سجل المبيعات'!$C$2:$C$1001,'سجل المبيعات'!$B$2:$B$1001,$A22,'سجل المبيعات'!$H$2:$H$1001,4,'سجل المبيعات'!$G$2:$G$1001,الإعدادات!$B$2))</f>
        <v/>
      </c>
      <c r="M22" s="11">
        <f>IF($A22="","",IFERROR(CHOOSE(ROUNDUP(MONTH(TODAY())/3,0),$F22/$E22,$H22/$G22,$J22/$I22,$L22/$K22),0))</f>
        <v/>
      </c>
    </row>
    <row r="23">
      <c r="A23" s="9" t="n"/>
      <c r="B23" s="9" t="n"/>
      <c r="C23" s="9" t="n"/>
      <c r="D23" s="9" t="n"/>
      <c r="E23" s="10" t="n"/>
      <c r="F23" s="10">
        <f>IF($A23="","",SUMIFS('سجل المبيعات'!$C$2:$C$1001,'سجل المبيعات'!$B$2:$B$1001,$A23,'سجل المبيعات'!$H$2:$H$1001,1,'سجل المبيعات'!$G$2:$G$1001,الإعدادات!$B$2))</f>
        <v/>
      </c>
      <c r="G23" s="10" t="n"/>
      <c r="H23" s="10">
        <f>IF($A23="","",SUMIFS('سجل المبيعات'!$C$2:$C$1001,'سجل المبيعات'!$B$2:$B$1001,$A23,'سجل المبيعات'!$H$2:$H$1001,2,'سجل المبيعات'!$G$2:$G$1001,الإعدادات!$B$2))</f>
        <v/>
      </c>
      <c r="I23" s="10" t="n"/>
      <c r="J23" s="10">
        <f>IF($A23="","",SUMIFS('سجل المبيعات'!$C$2:$C$1001,'سجل المبيعات'!$B$2:$B$1001,$A23,'سجل المبيعات'!$H$2:$H$1001,3,'سجل المبيعات'!$G$2:$G$1001,الإعدادات!$B$2))</f>
        <v/>
      </c>
      <c r="K23" s="10" t="n"/>
      <c r="L23" s="10">
        <f>IF($A23="","",SUMIFS('سجل المبيعات'!$C$2:$C$1001,'سجل المبيعات'!$B$2:$B$1001,$A23,'سجل المبيعات'!$H$2:$H$1001,4,'سجل المبيعات'!$G$2:$G$1001,الإعدادات!$B$2))</f>
        <v/>
      </c>
      <c r="M23" s="12">
        <f>IF($A23="","",IFERROR(CHOOSE(ROUNDUP(MONTH(TODAY())/3,0),$F23/$E23,$H23/$G23,$J23/$I23,$L23/$K23),0))</f>
        <v/>
      </c>
    </row>
    <row r="24">
      <c r="A24" s="6" t="n"/>
      <c r="B24" s="6" t="n"/>
      <c r="C24" s="6" t="n"/>
      <c r="D24" s="6" t="n"/>
      <c r="E24" s="8" t="n"/>
      <c r="F24" s="8">
        <f>IF($A24="","",SUMIFS('سجل المبيعات'!$C$2:$C$1001,'سجل المبيعات'!$B$2:$B$1001,$A24,'سجل المبيعات'!$H$2:$H$1001,1,'سجل المبيعات'!$G$2:$G$1001,الإعدادات!$B$2))</f>
        <v/>
      </c>
      <c r="G24" s="8" t="n"/>
      <c r="H24" s="8">
        <f>IF($A24="","",SUMIFS('سجل المبيعات'!$C$2:$C$1001,'سجل المبيعات'!$B$2:$B$1001,$A24,'سجل المبيعات'!$H$2:$H$1001,2,'سجل المبيعات'!$G$2:$G$1001,الإعدادات!$B$2))</f>
        <v/>
      </c>
      <c r="I24" s="8" t="n"/>
      <c r="J24" s="8">
        <f>IF($A24="","",SUMIFS('سجل المبيعات'!$C$2:$C$1001,'سجل المبيعات'!$B$2:$B$1001,$A24,'سجل المبيعات'!$H$2:$H$1001,3,'سجل المبيعات'!$G$2:$G$1001,الإعدادات!$B$2))</f>
        <v/>
      </c>
      <c r="K24" s="8" t="n"/>
      <c r="L24" s="8">
        <f>IF($A24="","",SUMIFS('سجل المبيعات'!$C$2:$C$1001,'سجل المبيعات'!$B$2:$B$1001,$A24,'سجل المبيعات'!$H$2:$H$1001,4,'سجل المبيعات'!$G$2:$G$1001,الإعدادات!$B$2))</f>
        <v/>
      </c>
      <c r="M24" s="11">
        <f>IF($A24="","",IFERROR(CHOOSE(ROUNDUP(MONTH(TODAY())/3,0),$F24/$E24,$H24/$G24,$J24/$I24,$L24/$K24),0))</f>
        <v/>
      </c>
    </row>
    <row r="25">
      <c r="A25" s="9" t="n"/>
      <c r="B25" s="9" t="n"/>
      <c r="C25" s="9" t="n"/>
      <c r="D25" s="9" t="n"/>
      <c r="E25" s="10" t="n"/>
      <c r="F25" s="10">
        <f>IF($A25="","",SUMIFS('سجل المبيعات'!$C$2:$C$1001,'سجل المبيعات'!$B$2:$B$1001,$A25,'سجل المبيعات'!$H$2:$H$1001,1,'سجل المبيعات'!$G$2:$G$1001,الإعدادات!$B$2))</f>
        <v/>
      </c>
      <c r="G25" s="10" t="n"/>
      <c r="H25" s="10">
        <f>IF($A25="","",SUMIFS('سجل المبيعات'!$C$2:$C$1001,'سجل المبيعات'!$B$2:$B$1001,$A25,'سجل المبيعات'!$H$2:$H$1001,2,'سجل المبيعات'!$G$2:$G$1001,الإعدادات!$B$2))</f>
        <v/>
      </c>
      <c r="I25" s="10" t="n"/>
      <c r="J25" s="10">
        <f>IF($A25="","",SUMIFS('سجل المبيعات'!$C$2:$C$1001,'سجل المبيعات'!$B$2:$B$1001,$A25,'سجل المبيعات'!$H$2:$H$1001,3,'سجل المبيعات'!$G$2:$G$1001,الإعدادات!$B$2))</f>
        <v/>
      </c>
      <c r="K25" s="10" t="n"/>
      <c r="L25" s="10">
        <f>IF($A25="","",SUMIFS('سجل المبيعات'!$C$2:$C$1001,'سجل المبيعات'!$B$2:$B$1001,$A25,'سجل المبيعات'!$H$2:$H$1001,4,'سجل المبيعات'!$G$2:$G$1001,الإعدادات!$B$2))</f>
        <v/>
      </c>
      <c r="M25" s="12">
        <f>IF($A25="","",IFERROR(CHOOSE(ROUNDUP(MONTH(TODAY())/3,0),$F25/$E25,$H25/$G25,$J25/$I25,$L25/$K25),0))</f>
        <v/>
      </c>
    </row>
    <row r="26">
      <c r="A26" s="6" t="n"/>
      <c r="B26" s="6" t="n"/>
      <c r="C26" s="6" t="n"/>
      <c r="D26" s="6" t="n"/>
      <c r="E26" s="8" t="n"/>
      <c r="F26" s="8">
        <f>IF($A26="","",SUMIFS('سجل المبيعات'!$C$2:$C$1001,'سجل المبيعات'!$B$2:$B$1001,$A26,'سجل المبيعات'!$H$2:$H$1001,1,'سجل المبيعات'!$G$2:$G$1001,الإعدادات!$B$2))</f>
        <v/>
      </c>
      <c r="G26" s="8" t="n"/>
      <c r="H26" s="8">
        <f>IF($A26="","",SUMIFS('سجل المبيعات'!$C$2:$C$1001,'سجل المبيعات'!$B$2:$B$1001,$A26,'سجل المبيعات'!$H$2:$H$1001,2,'سجل المبيعات'!$G$2:$G$1001,الإعدادات!$B$2))</f>
        <v/>
      </c>
      <c r="I26" s="8" t="n"/>
      <c r="J26" s="8">
        <f>IF($A26="","",SUMIFS('سجل المبيعات'!$C$2:$C$1001,'سجل المبيعات'!$B$2:$B$1001,$A26,'سجل المبيعات'!$H$2:$H$1001,3,'سجل المبيعات'!$G$2:$G$1001,الإعدادات!$B$2))</f>
        <v/>
      </c>
      <c r="K26" s="8" t="n"/>
      <c r="L26" s="8">
        <f>IF($A26="","",SUMIFS('سجل المبيعات'!$C$2:$C$1001,'سجل المبيعات'!$B$2:$B$1001,$A26,'سجل المبيعات'!$H$2:$H$1001,4,'سجل المبيعات'!$G$2:$G$1001,الإعدادات!$B$2))</f>
        <v/>
      </c>
      <c r="M26" s="11">
        <f>IF($A26="","",IFERROR(CHOOSE(ROUNDUP(MONTH(TODAY())/3,0),$F26/$E26,$H26/$G26,$J26/$I26,$L26/$K26),0))</f>
        <v/>
      </c>
    </row>
    <row r="27">
      <c r="A27" s="9" t="n"/>
      <c r="B27" s="9" t="n"/>
      <c r="C27" s="9" t="n"/>
      <c r="D27" s="9" t="n"/>
      <c r="E27" s="10" t="n"/>
      <c r="F27" s="10">
        <f>IF($A27="","",SUMIFS('سجل المبيعات'!$C$2:$C$1001,'سجل المبيعات'!$B$2:$B$1001,$A27,'سجل المبيعات'!$H$2:$H$1001,1,'سجل المبيعات'!$G$2:$G$1001,الإعدادات!$B$2))</f>
        <v/>
      </c>
      <c r="G27" s="10" t="n"/>
      <c r="H27" s="10">
        <f>IF($A27="","",SUMIFS('سجل المبيعات'!$C$2:$C$1001,'سجل المبيعات'!$B$2:$B$1001,$A27,'سجل المبيعات'!$H$2:$H$1001,2,'سجل المبيعات'!$G$2:$G$1001,الإعدادات!$B$2))</f>
        <v/>
      </c>
      <c r="I27" s="10" t="n"/>
      <c r="J27" s="10">
        <f>IF($A27="","",SUMIFS('سجل المبيعات'!$C$2:$C$1001,'سجل المبيعات'!$B$2:$B$1001,$A27,'سجل المبيعات'!$H$2:$H$1001,3,'سجل المبيعات'!$G$2:$G$1001,الإعدادات!$B$2))</f>
        <v/>
      </c>
      <c r="K27" s="10" t="n"/>
      <c r="L27" s="10">
        <f>IF($A27="","",SUMIFS('سجل المبيعات'!$C$2:$C$1001,'سجل المبيعات'!$B$2:$B$1001,$A27,'سجل المبيعات'!$H$2:$H$1001,4,'سجل المبيعات'!$G$2:$G$1001,الإعدادات!$B$2))</f>
        <v/>
      </c>
      <c r="M27" s="12">
        <f>IF($A27="","",IFERROR(CHOOSE(ROUNDUP(MONTH(TODAY())/3,0),$F27/$E27,$H27/$G27,$J27/$I27,$L27/$K27),0))</f>
        <v/>
      </c>
    </row>
    <row r="28">
      <c r="A28" s="6" t="n"/>
      <c r="B28" s="6" t="n"/>
      <c r="C28" s="6" t="n"/>
      <c r="D28" s="6" t="n"/>
      <c r="E28" s="8" t="n"/>
      <c r="F28" s="8">
        <f>IF($A28="","",SUMIFS('سجل المبيعات'!$C$2:$C$1001,'سجل المبيعات'!$B$2:$B$1001,$A28,'سجل المبيعات'!$H$2:$H$1001,1,'سجل المبيعات'!$G$2:$G$1001,الإعدادات!$B$2))</f>
        <v/>
      </c>
      <c r="G28" s="8" t="n"/>
      <c r="H28" s="8">
        <f>IF($A28="","",SUMIFS('سجل المبيعات'!$C$2:$C$1001,'سجل المبيعات'!$B$2:$B$1001,$A28,'سجل المبيعات'!$H$2:$H$1001,2,'سجل المبيعات'!$G$2:$G$1001,الإعدادات!$B$2))</f>
        <v/>
      </c>
      <c r="I28" s="8" t="n"/>
      <c r="J28" s="8">
        <f>IF($A28="","",SUMIFS('سجل المبيعات'!$C$2:$C$1001,'سجل المبيعات'!$B$2:$B$1001,$A28,'سجل المبيعات'!$H$2:$H$1001,3,'سجل المبيعات'!$G$2:$G$1001,الإعدادات!$B$2))</f>
        <v/>
      </c>
      <c r="K28" s="8" t="n"/>
      <c r="L28" s="8">
        <f>IF($A28="","",SUMIFS('سجل المبيعات'!$C$2:$C$1001,'سجل المبيعات'!$B$2:$B$1001,$A28,'سجل المبيعات'!$H$2:$H$1001,4,'سجل المبيعات'!$G$2:$G$1001,الإعدادات!$B$2))</f>
        <v/>
      </c>
      <c r="M28" s="11">
        <f>IF($A28="","",IFERROR(CHOOSE(ROUNDUP(MONTH(TODAY())/3,0),$F28/$E28,$H28/$G28,$J28/$I28,$L28/$K28),0))</f>
        <v/>
      </c>
    </row>
    <row r="29">
      <c r="A29" s="9" t="n"/>
      <c r="B29" s="9" t="n"/>
      <c r="C29" s="9" t="n"/>
      <c r="D29" s="9" t="n"/>
      <c r="E29" s="10" t="n"/>
      <c r="F29" s="10">
        <f>IF($A29="","",SUMIFS('سجل المبيعات'!$C$2:$C$1001,'سجل المبيعات'!$B$2:$B$1001,$A29,'سجل المبيعات'!$H$2:$H$1001,1,'سجل المبيعات'!$G$2:$G$1001,الإعدادات!$B$2))</f>
        <v/>
      </c>
      <c r="G29" s="10" t="n"/>
      <c r="H29" s="10">
        <f>IF($A29="","",SUMIFS('سجل المبيعات'!$C$2:$C$1001,'سجل المبيعات'!$B$2:$B$1001,$A29,'سجل المبيعات'!$H$2:$H$1001,2,'سجل المبيعات'!$G$2:$G$1001,الإعدادات!$B$2))</f>
        <v/>
      </c>
      <c r="I29" s="10" t="n"/>
      <c r="J29" s="10">
        <f>IF($A29="","",SUMIFS('سجل المبيعات'!$C$2:$C$1001,'سجل المبيعات'!$B$2:$B$1001,$A29,'سجل المبيعات'!$H$2:$H$1001,3,'سجل المبيعات'!$G$2:$G$1001,الإعدادات!$B$2))</f>
        <v/>
      </c>
      <c r="K29" s="10" t="n"/>
      <c r="L29" s="10">
        <f>IF($A29="","",SUMIFS('سجل المبيعات'!$C$2:$C$1001,'سجل المبيعات'!$B$2:$B$1001,$A29,'سجل المبيعات'!$H$2:$H$1001,4,'سجل المبيعات'!$G$2:$G$1001,الإعدادات!$B$2))</f>
        <v/>
      </c>
      <c r="M29" s="12">
        <f>IF($A29="","",IFERROR(CHOOSE(ROUNDUP(MONTH(TODAY())/3,0),$F29/$E29,$H29/$G29,$J29/$I29,$L29/$K29),0))</f>
        <v/>
      </c>
    </row>
    <row r="30">
      <c r="A30" s="6" t="n"/>
      <c r="B30" s="6" t="n"/>
      <c r="C30" s="6" t="n"/>
      <c r="D30" s="6" t="n"/>
      <c r="E30" s="8" t="n"/>
      <c r="F30" s="8">
        <f>IF($A30="","",SUMIFS('سجل المبيعات'!$C$2:$C$1001,'سجل المبيعات'!$B$2:$B$1001,$A30,'سجل المبيعات'!$H$2:$H$1001,1,'سجل المبيعات'!$G$2:$G$1001,الإعدادات!$B$2))</f>
        <v/>
      </c>
      <c r="G30" s="8" t="n"/>
      <c r="H30" s="8">
        <f>IF($A30="","",SUMIFS('سجل المبيعات'!$C$2:$C$1001,'سجل المبيعات'!$B$2:$B$1001,$A30,'سجل المبيعات'!$H$2:$H$1001,2,'سجل المبيعات'!$G$2:$G$1001,الإعدادات!$B$2))</f>
        <v/>
      </c>
      <c r="I30" s="8" t="n"/>
      <c r="J30" s="8">
        <f>IF($A30="","",SUMIFS('سجل المبيعات'!$C$2:$C$1001,'سجل المبيعات'!$B$2:$B$1001,$A30,'سجل المبيعات'!$H$2:$H$1001,3,'سجل المبيعات'!$G$2:$G$1001,الإعدادات!$B$2))</f>
        <v/>
      </c>
      <c r="K30" s="8" t="n"/>
      <c r="L30" s="8">
        <f>IF($A30="","",SUMIFS('سجل المبيعات'!$C$2:$C$1001,'سجل المبيعات'!$B$2:$B$1001,$A30,'سجل المبيعات'!$H$2:$H$1001,4,'سجل المبيعات'!$G$2:$G$1001,الإعدادات!$B$2))</f>
        <v/>
      </c>
      <c r="M30" s="11">
        <f>IF($A30="","",IFERROR(CHOOSE(ROUNDUP(MONTH(TODAY())/3,0),$F30/$E30,$H30/$G30,$J30/$I30,$L30/$K30),0))</f>
        <v/>
      </c>
    </row>
    <row r="31">
      <c r="A31" s="9" t="n"/>
      <c r="B31" s="9" t="n"/>
      <c r="C31" s="9" t="n"/>
      <c r="D31" s="9" t="n"/>
      <c r="E31" s="10" t="n"/>
      <c r="F31" s="10">
        <f>IF($A31="","",SUMIFS('سجل المبيعات'!$C$2:$C$1001,'سجل المبيعات'!$B$2:$B$1001,$A31,'سجل المبيعات'!$H$2:$H$1001,1,'سجل المبيعات'!$G$2:$G$1001,الإعدادات!$B$2))</f>
        <v/>
      </c>
      <c r="G31" s="10" t="n"/>
      <c r="H31" s="10">
        <f>IF($A31="","",SUMIFS('سجل المبيعات'!$C$2:$C$1001,'سجل المبيعات'!$B$2:$B$1001,$A31,'سجل المبيعات'!$H$2:$H$1001,2,'سجل المبيعات'!$G$2:$G$1001,الإعدادات!$B$2))</f>
        <v/>
      </c>
      <c r="I31" s="10" t="n"/>
      <c r="J31" s="10">
        <f>IF($A31="","",SUMIFS('سجل المبيعات'!$C$2:$C$1001,'سجل المبيعات'!$B$2:$B$1001,$A31,'سجل المبيعات'!$H$2:$H$1001,3,'سجل المبيعات'!$G$2:$G$1001,الإعدادات!$B$2))</f>
        <v/>
      </c>
      <c r="K31" s="10" t="n"/>
      <c r="L31" s="10">
        <f>IF($A31="","",SUMIFS('سجل المبيعات'!$C$2:$C$1001,'سجل المبيعات'!$B$2:$B$1001,$A31,'سجل المبيعات'!$H$2:$H$1001,4,'سجل المبيعات'!$G$2:$G$1001,الإعدادات!$B$2))</f>
        <v/>
      </c>
      <c r="M31" s="12">
        <f>IF($A31="","",IFERROR(CHOOSE(ROUNDUP(MONTH(TODAY())/3,0),$F31/$E31,$H31/$G31,$J31/$I31,$L31/$K31),0))</f>
        <v/>
      </c>
    </row>
    <row r="32">
      <c r="A32" s="6" t="n"/>
      <c r="B32" s="6" t="n"/>
      <c r="C32" s="6" t="n"/>
      <c r="D32" s="6" t="n"/>
      <c r="E32" s="8" t="n"/>
      <c r="F32" s="8">
        <f>IF($A32="","",SUMIFS('سجل المبيعات'!$C$2:$C$1001,'سجل المبيعات'!$B$2:$B$1001,$A32,'سجل المبيعات'!$H$2:$H$1001,1,'سجل المبيعات'!$G$2:$G$1001,الإعدادات!$B$2))</f>
        <v/>
      </c>
      <c r="G32" s="8" t="n"/>
      <c r="H32" s="8">
        <f>IF($A32="","",SUMIFS('سجل المبيعات'!$C$2:$C$1001,'سجل المبيعات'!$B$2:$B$1001,$A32,'سجل المبيعات'!$H$2:$H$1001,2,'سجل المبيعات'!$G$2:$G$1001,الإعدادات!$B$2))</f>
        <v/>
      </c>
      <c r="I32" s="8" t="n"/>
      <c r="J32" s="8">
        <f>IF($A32="","",SUMIFS('سجل المبيعات'!$C$2:$C$1001,'سجل المبيعات'!$B$2:$B$1001,$A32,'سجل المبيعات'!$H$2:$H$1001,3,'سجل المبيعات'!$G$2:$G$1001,الإعدادات!$B$2))</f>
        <v/>
      </c>
      <c r="K32" s="8" t="n"/>
      <c r="L32" s="8">
        <f>IF($A32="","",SUMIFS('سجل المبيعات'!$C$2:$C$1001,'سجل المبيعات'!$B$2:$B$1001,$A32,'سجل المبيعات'!$H$2:$H$1001,4,'سجل المبيعات'!$G$2:$G$1001,الإعدادات!$B$2))</f>
        <v/>
      </c>
      <c r="M32" s="11">
        <f>IF($A32="","",IFERROR(CHOOSE(ROUNDUP(MONTH(TODAY())/3,0),$F32/$E32,$H32/$G32,$J32/$I32,$L32/$K32),0))</f>
        <v/>
      </c>
    </row>
    <row r="33">
      <c r="A33" s="9" t="n"/>
      <c r="B33" s="9" t="n"/>
      <c r="C33" s="9" t="n"/>
      <c r="D33" s="9" t="n"/>
      <c r="E33" s="10" t="n"/>
      <c r="F33" s="10">
        <f>IF($A33="","",SUMIFS('سجل المبيعات'!$C$2:$C$1001,'سجل المبيعات'!$B$2:$B$1001,$A33,'سجل المبيعات'!$H$2:$H$1001,1,'سجل المبيعات'!$G$2:$G$1001,الإعدادات!$B$2))</f>
        <v/>
      </c>
      <c r="G33" s="10" t="n"/>
      <c r="H33" s="10">
        <f>IF($A33="","",SUMIFS('سجل المبيعات'!$C$2:$C$1001,'سجل المبيعات'!$B$2:$B$1001,$A33,'سجل المبيعات'!$H$2:$H$1001,2,'سجل المبيعات'!$G$2:$G$1001,الإعدادات!$B$2))</f>
        <v/>
      </c>
      <c r="I33" s="10" t="n"/>
      <c r="J33" s="10">
        <f>IF($A33="","",SUMIFS('سجل المبيعات'!$C$2:$C$1001,'سجل المبيعات'!$B$2:$B$1001,$A33,'سجل المبيعات'!$H$2:$H$1001,3,'سجل المبيعات'!$G$2:$G$1001,الإعدادات!$B$2))</f>
        <v/>
      </c>
      <c r="K33" s="10" t="n"/>
      <c r="L33" s="10">
        <f>IF($A33="","",SUMIFS('سجل المبيعات'!$C$2:$C$1001,'سجل المبيعات'!$B$2:$B$1001,$A33,'سجل المبيعات'!$H$2:$H$1001,4,'سجل المبيعات'!$G$2:$G$1001,الإعدادات!$B$2))</f>
        <v/>
      </c>
      <c r="M33" s="12">
        <f>IF($A33="","",IFERROR(CHOOSE(ROUNDUP(MONTH(TODAY())/3,0),$F33/$E33,$H33/$G33,$J33/$I33,$L33/$K33),0))</f>
        <v/>
      </c>
    </row>
    <row r="34">
      <c r="A34" s="6" t="n"/>
      <c r="B34" s="6" t="n"/>
      <c r="C34" s="6" t="n"/>
      <c r="D34" s="6" t="n"/>
      <c r="E34" s="8" t="n"/>
      <c r="F34" s="8">
        <f>IF($A34="","",SUMIFS('سجل المبيعات'!$C$2:$C$1001,'سجل المبيعات'!$B$2:$B$1001,$A34,'سجل المبيعات'!$H$2:$H$1001,1,'سجل المبيعات'!$G$2:$G$1001,الإعدادات!$B$2))</f>
        <v/>
      </c>
      <c r="G34" s="8" t="n"/>
      <c r="H34" s="8">
        <f>IF($A34="","",SUMIFS('سجل المبيعات'!$C$2:$C$1001,'سجل المبيعات'!$B$2:$B$1001,$A34,'سجل المبيعات'!$H$2:$H$1001,2,'سجل المبيعات'!$G$2:$G$1001,الإعدادات!$B$2))</f>
        <v/>
      </c>
      <c r="I34" s="8" t="n"/>
      <c r="J34" s="8">
        <f>IF($A34="","",SUMIFS('سجل المبيعات'!$C$2:$C$1001,'سجل المبيعات'!$B$2:$B$1001,$A34,'سجل المبيعات'!$H$2:$H$1001,3,'سجل المبيعات'!$G$2:$G$1001,الإعدادات!$B$2))</f>
        <v/>
      </c>
      <c r="K34" s="8" t="n"/>
      <c r="L34" s="8">
        <f>IF($A34="","",SUMIFS('سجل المبيعات'!$C$2:$C$1001,'سجل المبيعات'!$B$2:$B$1001,$A34,'سجل المبيعات'!$H$2:$H$1001,4,'سجل المبيعات'!$G$2:$G$1001,الإعدادات!$B$2))</f>
        <v/>
      </c>
      <c r="M34" s="11">
        <f>IF($A34="","",IFERROR(CHOOSE(ROUNDUP(MONTH(TODAY())/3,0),$F34/$E34,$H34/$G34,$J34/$I34,$L34/$K34),0))</f>
        <v/>
      </c>
    </row>
    <row r="35">
      <c r="A35" s="9" t="n"/>
      <c r="B35" s="9" t="n"/>
      <c r="C35" s="9" t="n"/>
      <c r="D35" s="9" t="n"/>
      <c r="E35" s="10" t="n"/>
      <c r="F35" s="10">
        <f>IF($A35="","",SUMIFS('سجل المبيعات'!$C$2:$C$1001,'سجل المبيعات'!$B$2:$B$1001,$A35,'سجل المبيعات'!$H$2:$H$1001,1,'سجل المبيعات'!$G$2:$G$1001,الإعدادات!$B$2))</f>
        <v/>
      </c>
      <c r="G35" s="10" t="n"/>
      <c r="H35" s="10">
        <f>IF($A35="","",SUMIFS('سجل المبيعات'!$C$2:$C$1001,'سجل المبيعات'!$B$2:$B$1001,$A35,'سجل المبيعات'!$H$2:$H$1001,2,'سجل المبيعات'!$G$2:$G$1001,الإعدادات!$B$2))</f>
        <v/>
      </c>
      <c r="I35" s="10" t="n"/>
      <c r="J35" s="10">
        <f>IF($A35="","",SUMIFS('سجل المبيعات'!$C$2:$C$1001,'سجل المبيعات'!$B$2:$B$1001,$A35,'سجل المبيعات'!$H$2:$H$1001,3,'سجل المبيعات'!$G$2:$G$1001,الإعدادات!$B$2))</f>
        <v/>
      </c>
      <c r="K35" s="10" t="n"/>
      <c r="L35" s="10">
        <f>IF($A35="","",SUMIFS('سجل المبيعات'!$C$2:$C$1001,'سجل المبيعات'!$B$2:$B$1001,$A35,'سجل المبيعات'!$H$2:$H$1001,4,'سجل المبيعات'!$G$2:$G$1001,الإعدادات!$B$2))</f>
        <v/>
      </c>
      <c r="M35" s="12">
        <f>IF($A35="","",IFERROR(CHOOSE(ROUNDUP(MONTH(TODAY())/3,0),$F35/$E35,$H35/$G35,$J35/$I35,$L35/$K35),0))</f>
        <v/>
      </c>
    </row>
    <row r="36">
      <c r="A36" s="6" t="n"/>
      <c r="B36" s="6" t="n"/>
      <c r="C36" s="6" t="n"/>
      <c r="D36" s="6" t="n"/>
      <c r="E36" s="8" t="n"/>
      <c r="F36" s="8">
        <f>IF($A36="","",SUMIFS('سجل المبيعات'!$C$2:$C$1001,'سجل المبيعات'!$B$2:$B$1001,$A36,'سجل المبيعات'!$H$2:$H$1001,1,'سجل المبيعات'!$G$2:$G$1001,الإعدادات!$B$2))</f>
        <v/>
      </c>
      <c r="G36" s="8" t="n"/>
      <c r="H36" s="8">
        <f>IF($A36="","",SUMIFS('سجل المبيعات'!$C$2:$C$1001,'سجل المبيعات'!$B$2:$B$1001,$A36,'سجل المبيعات'!$H$2:$H$1001,2,'سجل المبيعات'!$G$2:$G$1001,الإعدادات!$B$2))</f>
        <v/>
      </c>
      <c r="I36" s="8" t="n"/>
      <c r="J36" s="8">
        <f>IF($A36="","",SUMIFS('سجل المبيعات'!$C$2:$C$1001,'سجل المبيعات'!$B$2:$B$1001,$A36,'سجل المبيعات'!$H$2:$H$1001,3,'سجل المبيعات'!$G$2:$G$1001,الإعدادات!$B$2))</f>
        <v/>
      </c>
      <c r="K36" s="8" t="n"/>
      <c r="L36" s="8">
        <f>IF($A36="","",SUMIFS('سجل المبيعات'!$C$2:$C$1001,'سجل المبيعات'!$B$2:$B$1001,$A36,'سجل المبيعات'!$H$2:$H$1001,4,'سجل المبيعات'!$G$2:$G$1001,الإعدادات!$B$2))</f>
        <v/>
      </c>
      <c r="M36" s="11">
        <f>IF($A36="","",IFERROR(CHOOSE(ROUNDUP(MONTH(TODAY())/3,0),$F36/$E36,$H36/$G36,$J36/$I36,$L36/$K36),0))</f>
        <v/>
      </c>
    </row>
    <row r="37">
      <c r="A37" s="9" t="n"/>
      <c r="B37" s="9" t="n"/>
      <c r="C37" s="9" t="n"/>
      <c r="D37" s="9" t="n"/>
      <c r="E37" s="10" t="n"/>
      <c r="F37" s="10">
        <f>IF($A37="","",SUMIFS('سجل المبيعات'!$C$2:$C$1001,'سجل المبيعات'!$B$2:$B$1001,$A37,'سجل المبيعات'!$H$2:$H$1001,1,'سجل المبيعات'!$G$2:$G$1001,الإعدادات!$B$2))</f>
        <v/>
      </c>
      <c r="G37" s="10" t="n"/>
      <c r="H37" s="10">
        <f>IF($A37="","",SUMIFS('سجل المبيعات'!$C$2:$C$1001,'سجل المبيعات'!$B$2:$B$1001,$A37,'سجل المبيعات'!$H$2:$H$1001,2,'سجل المبيعات'!$G$2:$G$1001,الإعدادات!$B$2))</f>
        <v/>
      </c>
      <c r="I37" s="10" t="n"/>
      <c r="J37" s="10">
        <f>IF($A37="","",SUMIFS('سجل المبيعات'!$C$2:$C$1001,'سجل المبيعات'!$B$2:$B$1001,$A37,'سجل المبيعات'!$H$2:$H$1001,3,'سجل المبيعات'!$G$2:$G$1001,الإعدادات!$B$2))</f>
        <v/>
      </c>
      <c r="K37" s="10" t="n"/>
      <c r="L37" s="10">
        <f>IF($A37="","",SUMIFS('سجل المبيعات'!$C$2:$C$1001,'سجل المبيعات'!$B$2:$B$1001,$A37,'سجل المبيعات'!$H$2:$H$1001,4,'سجل المبيعات'!$G$2:$G$1001,الإعدادات!$B$2))</f>
        <v/>
      </c>
      <c r="M37" s="12">
        <f>IF($A37="","",IFERROR(CHOOSE(ROUNDUP(MONTH(TODAY())/3,0),$F37/$E37,$H37/$G37,$J37/$I37,$L37/$K37),0))</f>
        <v/>
      </c>
    </row>
    <row r="38">
      <c r="A38" s="6" t="n"/>
      <c r="B38" s="6" t="n"/>
      <c r="C38" s="6" t="n"/>
      <c r="D38" s="6" t="n"/>
      <c r="E38" s="8" t="n"/>
      <c r="F38" s="8">
        <f>IF($A38="","",SUMIFS('سجل المبيعات'!$C$2:$C$1001,'سجل المبيعات'!$B$2:$B$1001,$A38,'سجل المبيعات'!$H$2:$H$1001,1,'سجل المبيعات'!$G$2:$G$1001,الإعدادات!$B$2))</f>
        <v/>
      </c>
      <c r="G38" s="8" t="n"/>
      <c r="H38" s="8">
        <f>IF($A38="","",SUMIFS('سجل المبيعات'!$C$2:$C$1001,'سجل المبيعات'!$B$2:$B$1001,$A38,'سجل المبيعات'!$H$2:$H$1001,2,'سجل المبيعات'!$G$2:$G$1001,الإعدادات!$B$2))</f>
        <v/>
      </c>
      <c r="I38" s="8" t="n"/>
      <c r="J38" s="8">
        <f>IF($A38="","",SUMIFS('سجل المبيعات'!$C$2:$C$1001,'سجل المبيعات'!$B$2:$B$1001,$A38,'سجل المبيعات'!$H$2:$H$1001,3,'سجل المبيعات'!$G$2:$G$1001,الإعدادات!$B$2))</f>
        <v/>
      </c>
      <c r="K38" s="8" t="n"/>
      <c r="L38" s="8">
        <f>IF($A38="","",SUMIFS('سجل المبيعات'!$C$2:$C$1001,'سجل المبيعات'!$B$2:$B$1001,$A38,'سجل المبيعات'!$H$2:$H$1001,4,'سجل المبيعات'!$G$2:$G$1001,الإعدادات!$B$2))</f>
        <v/>
      </c>
      <c r="M38" s="11">
        <f>IF($A38="","",IFERROR(CHOOSE(ROUNDUP(MONTH(TODAY())/3,0),$F38/$E38,$H38/$G38,$J38/$I38,$L38/$K38),0))</f>
        <v/>
      </c>
    </row>
    <row r="39">
      <c r="A39" s="9" t="n"/>
      <c r="B39" s="9" t="n"/>
      <c r="C39" s="9" t="n"/>
      <c r="D39" s="9" t="n"/>
      <c r="E39" s="10" t="n"/>
      <c r="F39" s="10">
        <f>IF($A39="","",SUMIFS('سجل المبيعات'!$C$2:$C$1001,'سجل المبيعات'!$B$2:$B$1001,$A39,'سجل المبيعات'!$H$2:$H$1001,1,'سجل المبيعات'!$G$2:$G$1001,الإعدادات!$B$2))</f>
        <v/>
      </c>
      <c r="G39" s="10" t="n"/>
      <c r="H39" s="10">
        <f>IF($A39="","",SUMIFS('سجل المبيعات'!$C$2:$C$1001,'سجل المبيعات'!$B$2:$B$1001,$A39,'سجل المبيعات'!$H$2:$H$1001,2,'سجل المبيعات'!$G$2:$G$1001,الإعدادات!$B$2))</f>
        <v/>
      </c>
      <c r="I39" s="10" t="n"/>
      <c r="J39" s="10">
        <f>IF($A39="","",SUMIFS('سجل المبيعات'!$C$2:$C$1001,'سجل المبيعات'!$B$2:$B$1001,$A39,'سجل المبيعات'!$H$2:$H$1001,3,'سجل المبيعات'!$G$2:$G$1001,الإعدادات!$B$2))</f>
        <v/>
      </c>
      <c r="K39" s="10" t="n"/>
      <c r="L39" s="10">
        <f>IF($A39="","",SUMIFS('سجل المبيعات'!$C$2:$C$1001,'سجل المبيعات'!$B$2:$B$1001,$A39,'سجل المبيعات'!$H$2:$H$1001,4,'سجل المبيعات'!$G$2:$G$1001,الإعدادات!$B$2))</f>
        <v/>
      </c>
      <c r="M39" s="12">
        <f>IF($A39="","",IFERROR(CHOOSE(ROUNDUP(MONTH(TODAY())/3,0),$F39/$E39,$H39/$G39,$J39/$I39,$L39/$K39),0))</f>
        <v/>
      </c>
    </row>
    <row r="40">
      <c r="A40" s="6" t="n"/>
      <c r="B40" s="6" t="n"/>
      <c r="C40" s="6" t="n"/>
      <c r="D40" s="6" t="n"/>
      <c r="E40" s="8" t="n"/>
      <c r="F40" s="8">
        <f>IF($A40="","",SUMIFS('سجل المبيعات'!$C$2:$C$1001,'سجل المبيعات'!$B$2:$B$1001,$A40,'سجل المبيعات'!$H$2:$H$1001,1,'سجل المبيعات'!$G$2:$G$1001,الإعدادات!$B$2))</f>
        <v/>
      </c>
      <c r="G40" s="8" t="n"/>
      <c r="H40" s="8">
        <f>IF($A40="","",SUMIFS('سجل المبيعات'!$C$2:$C$1001,'سجل المبيعات'!$B$2:$B$1001,$A40,'سجل المبيعات'!$H$2:$H$1001,2,'سجل المبيعات'!$G$2:$G$1001,الإعدادات!$B$2))</f>
        <v/>
      </c>
      <c r="I40" s="8" t="n"/>
      <c r="J40" s="8">
        <f>IF($A40="","",SUMIFS('سجل المبيعات'!$C$2:$C$1001,'سجل المبيعات'!$B$2:$B$1001,$A40,'سجل المبيعات'!$H$2:$H$1001,3,'سجل المبيعات'!$G$2:$G$1001,الإعدادات!$B$2))</f>
        <v/>
      </c>
      <c r="K40" s="8" t="n"/>
      <c r="L40" s="8">
        <f>IF($A40="","",SUMIFS('سجل المبيعات'!$C$2:$C$1001,'سجل المبيعات'!$B$2:$B$1001,$A40,'سجل المبيعات'!$H$2:$H$1001,4,'سجل المبيعات'!$G$2:$G$1001,الإعدادات!$B$2))</f>
        <v/>
      </c>
      <c r="M40" s="11">
        <f>IF($A40="","",IFERROR(CHOOSE(ROUNDUP(MONTH(TODAY())/3,0),$F40/$E40,$H40/$G40,$J40/$I40,$L40/$K40),0))</f>
        <v/>
      </c>
    </row>
    <row r="41">
      <c r="A41" s="9" t="n"/>
      <c r="B41" s="9" t="n"/>
      <c r="C41" s="9" t="n"/>
      <c r="D41" s="9" t="n"/>
      <c r="E41" s="10" t="n"/>
      <c r="F41" s="10">
        <f>IF($A41="","",SUMIFS('سجل المبيعات'!$C$2:$C$1001,'سجل المبيعات'!$B$2:$B$1001,$A41,'سجل المبيعات'!$H$2:$H$1001,1,'سجل المبيعات'!$G$2:$G$1001,الإعدادات!$B$2))</f>
        <v/>
      </c>
      <c r="G41" s="10" t="n"/>
      <c r="H41" s="10">
        <f>IF($A41="","",SUMIFS('سجل المبيعات'!$C$2:$C$1001,'سجل المبيعات'!$B$2:$B$1001,$A41,'سجل المبيعات'!$H$2:$H$1001,2,'سجل المبيعات'!$G$2:$G$1001,الإعدادات!$B$2))</f>
        <v/>
      </c>
      <c r="I41" s="10" t="n"/>
      <c r="J41" s="10">
        <f>IF($A41="","",SUMIFS('سجل المبيعات'!$C$2:$C$1001,'سجل المبيعات'!$B$2:$B$1001,$A41,'سجل المبيعات'!$H$2:$H$1001,3,'سجل المبيعات'!$G$2:$G$1001,الإعدادات!$B$2))</f>
        <v/>
      </c>
      <c r="K41" s="10" t="n"/>
      <c r="L41" s="10">
        <f>IF($A41="","",SUMIFS('سجل المبيعات'!$C$2:$C$1001,'سجل المبيعات'!$B$2:$B$1001,$A41,'سجل المبيعات'!$H$2:$H$1001,4,'سجل المبيعات'!$G$2:$G$1001,الإعدادات!$B$2))</f>
        <v/>
      </c>
      <c r="M41" s="12">
        <f>IF($A41="","",IFERROR(CHOOSE(ROUNDUP(MONTH(TODAY())/3,0),$F41/$E41,$H41/$G41,$J41/$I41,$L41/$K41),0))</f>
        <v/>
      </c>
    </row>
    <row r="42">
      <c r="A42" s="6" t="n"/>
      <c r="B42" s="6" t="n"/>
      <c r="C42" s="6" t="n"/>
      <c r="D42" s="6" t="n"/>
      <c r="E42" s="8" t="n"/>
      <c r="F42" s="8">
        <f>IF($A42="","",SUMIFS('سجل المبيعات'!$C$2:$C$1001,'سجل المبيعات'!$B$2:$B$1001,$A42,'سجل المبيعات'!$H$2:$H$1001,1,'سجل المبيعات'!$G$2:$G$1001,الإعدادات!$B$2))</f>
        <v/>
      </c>
      <c r="G42" s="8" t="n"/>
      <c r="H42" s="8">
        <f>IF($A42="","",SUMIFS('سجل المبيعات'!$C$2:$C$1001,'سجل المبيعات'!$B$2:$B$1001,$A42,'سجل المبيعات'!$H$2:$H$1001,2,'سجل المبيعات'!$G$2:$G$1001,الإعدادات!$B$2))</f>
        <v/>
      </c>
      <c r="I42" s="8" t="n"/>
      <c r="J42" s="8">
        <f>IF($A42="","",SUMIFS('سجل المبيعات'!$C$2:$C$1001,'سجل المبيعات'!$B$2:$B$1001,$A42,'سجل المبيعات'!$H$2:$H$1001,3,'سجل المبيعات'!$G$2:$G$1001,الإعدادات!$B$2))</f>
        <v/>
      </c>
      <c r="K42" s="8" t="n"/>
      <c r="L42" s="8">
        <f>IF($A42="","",SUMIFS('سجل المبيعات'!$C$2:$C$1001,'سجل المبيعات'!$B$2:$B$1001,$A42,'سجل المبيعات'!$H$2:$H$1001,4,'سجل المبيعات'!$G$2:$G$1001,الإعدادات!$B$2))</f>
        <v/>
      </c>
      <c r="M42" s="11">
        <f>IF($A42="","",IFERROR(CHOOSE(ROUNDUP(MONTH(TODAY())/3,0),$F42/$E42,$H42/$G42,$J42/$I42,$L42/$K42),0))</f>
        <v/>
      </c>
    </row>
    <row r="43">
      <c r="A43" s="9" t="n"/>
      <c r="B43" s="9" t="n"/>
      <c r="C43" s="9" t="n"/>
      <c r="D43" s="9" t="n"/>
      <c r="E43" s="10" t="n"/>
      <c r="F43" s="10">
        <f>IF($A43="","",SUMIFS('سجل المبيعات'!$C$2:$C$1001,'سجل المبيعات'!$B$2:$B$1001,$A43,'سجل المبيعات'!$H$2:$H$1001,1,'سجل المبيعات'!$G$2:$G$1001,الإعدادات!$B$2))</f>
        <v/>
      </c>
      <c r="G43" s="10" t="n"/>
      <c r="H43" s="10">
        <f>IF($A43="","",SUMIFS('سجل المبيعات'!$C$2:$C$1001,'سجل المبيعات'!$B$2:$B$1001,$A43,'سجل المبيعات'!$H$2:$H$1001,2,'سجل المبيعات'!$G$2:$G$1001,الإعدادات!$B$2))</f>
        <v/>
      </c>
      <c r="I43" s="10" t="n"/>
      <c r="J43" s="10">
        <f>IF($A43="","",SUMIFS('سجل المبيعات'!$C$2:$C$1001,'سجل المبيعات'!$B$2:$B$1001,$A43,'سجل المبيعات'!$H$2:$H$1001,3,'سجل المبيعات'!$G$2:$G$1001,الإعدادات!$B$2))</f>
        <v/>
      </c>
      <c r="K43" s="10" t="n"/>
      <c r="L43" s="10">
        <f>IF($A43="","",SUMIFS('سجل المبيعات'!$C$2:$C$1001,'سجل المبيعات'!$B$2:$B$1001,$A43,'سجل المبيعات'!$H$2:$H$1001,4,'سجل المبيعات'!$G$2:$G$1001,الإعدادات!$B$2))</f>
        <v/>
      </c>
      <c r="M43" s="12">
        <f>IF($A43="","",IFERROR(CHOOSE(ROUNDUP(MONTH(TODAY())/3,0),$F43/$E43,$H43/$G43,$J43/$I43,$L43/$K43),0))</f>
        <v/>
      </c>
    </row>
    <row r="44">
      <c r="A44" s="6" t="n"/>
      <c r="B44" s="6" t="n"/>
      <c r="C44" s="6" t="n"/>
      <c r="D44" s="6" t="n"/>
      <c r="E44" s="8" t="n"/>
      <c r="F44" s="8">
        <f>IF($A44="","",SUMIFS('سجل المبيعات'!$C$2:$C$1001,'سجل المبيعات'!$B$2:$B$1001,$A44,'سجل المبيعات'!$H$2:$H$1001,1,'سجل المبيعات'!$G$2:$G$1001,الإعدادات!$B$2))</f>
        <v/>
      </c>
      <c r="G44" s="8" t="n"/>
      <c r="H44" s="8">
        <f>IF($A44="","",SUMIFS('سجل المبيعات'!$C$2:$C$1001,'سجل المبيعات'!$B$2:$B$1001,$A44,'سجل المبيعات'!$H$2:$H$1001,2,'سجل المبيعات'!$G$2:$G$1001,الإعدادات!$B$2))</f>
        <v/>
      </c>
      <c r="I44" s="8" t="n"/>
      <c r="J44" s="8">
        <f>IF($A44="","",SUMIFS('سجل المبيعات'!$C$2:$C$1001,'سجل المبيعات'!$B$2:$B$1001,$A44,'سجل المبيعات'!$H$2:$H$1001,3,'سجل المبيعات'!$G$2:$G$1001,الإعدادات!$B$2))</f>
        <v/>
      </c>
      <c r="K44" s="8" t="n"/>
      <c r="L44" s="8">
        <f>IF($A44="","",SUMIFS('سجل المبيعات'!$C$2:$C$1001,'سجل المبيعات'!$B$2:$B$1001,$A44,'سجل المبيعات'!$H$2:$H$1001,4,'سجل المبيعات'!$G$2:$G$1001,الإعدادات!$B$2))</f>
        <v/>
      </c>
      <c r="M44" s="11">
        <f>IF($A44="","",IFERROR(CHOOSE(ROUNDUP(MONTH(TODAY())/3,0),$F44/$E44,$H44/$G44,$J44/$I44,$L44/$K44),0))</f>
        <v/>
      </c>
    </row>
    <row r="45">
      <c r="A45" s="9" t="n"/>
      <c r="B45" s="9" t="n"/>
      <c r="C45" s="9" t="n"/>
      <c r="D45" s="9" t="n"/>
      <c r="E45" s="10" t="n"/>
      <c r="F45" s="10">
        <f>IF($A45="","",SUMIFS('سجل المبيعات'!$C$2:$C$1001,'سجل المبيعات'!$B$2:$B$1001,$A45,'سجل المبيعات'!$H$2:$H$1001,1,'سجل المبيعات'!$G$2:$G$1001,الإعدادات!$B$2))</f>
        <v/>
      </c>
      <c r="G45" s="10" t="n"/>
      <c r="H45" s="10">
        <f>IF($A45="","",SUMIFS('سجل المبيعات'!$C$2:$C$1001,'سجل المبيعات'!$B$2:$B$1001,$A45,'سجل المبيعات'!$H$2:$H$1001,2,'سجل المبيعات'!$G$2:$G$1001,الإعدادات!$B$2))</f>
        <v/>
      </c>
      <c r="I45" s="10" t="n"/>
      <c r="J45" s="10">
        <f>IF($A45="","",SUMIFS('سجل المبيعات'!$C$2:$C$1001,'سجل المبيعات'!$B$2:$B$1001,$A45,'سجل المبيعات'!$H$2:$H$1001,3,'سجل المبيعات'!$G$2:$G$1001,الإعدادات!$B$2))</f>
        <v/>
      </c>
      <c r="K45" s="10" t="n"/>
      <c r="L45" s="10">
        <f>IF($A45="","",SUMIFS('سجل المبيعات'!$C$2:$C$1001,'سجل المبيعات'!$B$2:$B$1001,$A45,'سجل المبيعات'!$H$2:$H$1001,4,'سجل المبيعات'!$G$2:$G$1001,الإعدادات!$B$2))</f>
        <v/>
      </c>
      <c r="M45" s="12">
        <f>IF($A45="","",IFERROR(CHOOSE(ROUNDUP(MONTH(TODAY())/3,0),$F45/$E45,$H45/$G45,$J45/$I45,$L45/$K45),0))</f>
        <v/>
      </c>
    </row>
    <row r="46">
      <c r="A46" s="6" t="n"/>
      <c r="B46" s="6" t="n"/>
      <c r="C46" s="6" t="n"/>
      <c r="D46" s="6" t="n"/>
      <c r="E46" s="8" t="n"/>
      <c r="F46" s="8">
        <f>IF($A46="","",SUMIFS('سجل المبيعات'!$C$2:$C$1001,'سجل المبيعات'!$B$2:$B$1001,$A46,'سجل المبيعات'!$H$2:$H$1001,1,'سجل المبيعات'!$G$2:$G$1001,الإعدادات!$B$2))</f>
        <v/>
      </c>
      <c r="G46" s="8" t="n"/>
      <c r="H46" s="8">
        <f>IF($A46="","",SUMIFS('سجل المبيعات'!$C$2:$C$1001,'سجل المبيعات'!$B$2:$B$1001,$A46,'سجل المبيعات'!$H$2:$H$1001,2,'سجل المبيعات'!$G$2:$G$1001,الإعدادات!$B$2))</f>
        <v/>
      </c>
      <c r="I46" s="8" t="n"/>
      <c r="J46" s="8">
        <f>IF($A46="","",SUMIFS('سجل المبيعات'!$C$2:$C$1001,'سجل المبيعات'!$B$2:$B$1001,$A46,'سجل المبيعات'!$H$2:$H$1001,3,'سجل المبيعات'!$G$2:$G$1001,الإعدادات!$B$2))</f>
        <v/>
      </c>
      <c r="K46" s="8" t="n"/>
      <c r="L46" s="8">
        <f>IF($A46="","",SUMIFS('سجل المبيعات'!$C$2:$C$1001,'سجل المبيعات'!$B$2:$B$1001,$A46,'سجل المبيعات'!$H$2:$H$1001,4,'سجل المبيعات'!$G$2:$G$1001,الإعدادات!$B$2))</f>
        <v/>
      </c>
      <c r="M46" s="11">
        <f>IF($A46="","",IFERROR(CHOOSE(ROUNDUP(MONTH(TODAY())/3,0),$F46/$E46,$H46/$G46,$J46/$I46,$L46/$K46),0))</f>
        <v/>
      </c>
    </row>
    <row r="47">
      <c r="A47" s="9" t="n"/>
      <c r="B47" s="9" t="n"/>
      <c r="C47" s="9" t="n"/>
      <c r="D47" s="9" t="n"/>
      <c r="E47" s="10" t="n"/>
      <c r="F47" s="10">
        <f>IF($A47="","",SUMIFS('سجل المبيعات'!$C$2:$C$1001,'سجل المبيعات'!$B$2:$B$1001,$A47,'سجل المبيعات'!$H$2:$H$1001,1,'سجل المبيعات'!$G$2:$G$1001,الإعدادات!$B$2))</f>
        <v/>
      </c>
      <c r="G47" s="10" t="n"/>
      <c r="H47" s="10">
        <f>IF($A47="","",SUMIFS('سجل المبيعات'!$C$2:$C$1001,'سجل المبيعات'!$B$2:$B$1001,$A47,'سجل المبيعات'!$H$2:$H$1001,2,'سجل المبيعات'!$G$2:$G$1001,الإعدادات!$B$2))</f>
        <v/>
      </c>
      <c r="I47" s="10" t="n"/>
      <c r="J47" s="10">
        <f>IF($A47="","",SUMIFS('سجل المبيعات'!$C$2:$C$1001,'سجل المبيعات'!$B$2:$B$1001,$A47,'سجل المبيعات'!$H$2:$H$1001,3,'سجل المبيعات'!$G$2:$G$1001,الإعدادات!$B$2))</f>
        <v/>
      </c>
      <c r="K47" s="10" t="n"/>
      <c r="L47" s="10">
        <f>IF($A47="","",SUMIFS('سجل المبيعات'!$C$2:$C$1001,'سجل المبيعات'!$B$2:$B$1001,$A47,'سجل المبيعات'!$H$2:$H$1001,4,'سجل المبيعات'!$G$2:$G$1001,الإعدادات!$B$2))</f>
        <v/>
      </c>
      <c r="M47" s="12">
        <f>IF($A47="","",IFERROR(CHOOSE(ROUNDUP(MONTH(TODAY())/3,0),$F47/$E47,$H47/$G47,$J47/$I47,$L47/$K47),0))</f>
        <v/>
      </c>
    </row>
    <row r="48">
      <c r="A48" s="6" t="n"/>
      <c r="B48" s="6" t="n"/>
      <c r="C48" s="6" t="n"/>
      <c r="D48" s="6" t="n"/>
      <c r="E48" s="8" t="n"/>
      <c r="F48" s="8">
        <f>IF($A48="","",SUMIFS('سجل المبيعات'!$C$2:$C$1001,'سجل المبيعات'!$B$2:$B$1001,$A48,'سجل المبيعات'!$H$2:$H$1001,1,'سجل المبيعات'!$G$2:$G$1001,الإعدادات!$B$2))</f>
        <v/>
      </c>
      <c r="G48" s="8" t="n"/>
      <c r="H48" s="8">
        <f>IF($A48="","",SUMIFS('سجل المبيعات'!$C$2:$C$1001,'سجل المبيعات'!$B$2:$B$1001,$A48,'سجل المبيعات'!$H$2:$H$1001,2,'سجل المبيعات'!$G$2:$G$1001,الإعدادات!$B$2))</f>
        <v/>
      </c>
      <c r="I48" s="8" t="n"/>
      <c r="J48" s="8">
        <f>IF($A48="","",SUMIFS('سجل المبيعات'!$C$2:$C$1001,'سجل المبيعات'!$B$2:$B$1001,$A48,'سجل المبيعات'!$H$2:$H$1001,3,'سجل المبيعات'!$G$2:$G$1001,الإعدادات!$B$2))</f>
        <v/>
      </c>
      <c r="K48" s="8" t="n"/>
      <c r="L48" s="8">
        <f>IF($A48="","",SUMIFS('سجل المبيعات'!$C$2:$C$1001,'سجل المبيعات'!$B$2:$B$1001,$A48,'سجل المبيعات'!$H$2:$H$1001,4,'سجل المبيعات'!$G$2:$G$1001,الإعدادات!$B$2))</f>
        <v/>
      </c>
      <c r="M48" s="11">
        <f>IF($A48="","",IFERROR(CHOOSE(ROUNDUP(MONTH(TODAY())/3,0),$F48/$E48,$H48/$G48,$J48/$I48,$L48/$K48),0))</f>
        <v/>
      </c>
    </row>
    <row r="49">
      <c r="A49" s="9" t="n"/>
      <c r="B49" s="9" t="n"/>
      <c r="C49" s="9" t="n"/>
      <c r="D49" s="9" t="n"/>
      <c r="E49" s="10" t="n"/>
      <c r="F49" s="10">
        <f>IF($A49="","",SUMIFS('سجل المبيعات'!$C$2:$C$1001,'سجل المبيعات'!$B$2:$B$1001,$A49,'سجل المبيعات'!$H$2:$H$1001,1,'سجل المبيعات'!$G$2:$G$1001,الإعدادات!$B$2))</f>
        <v/>
      </c>
      <c r="G49" s="10" t="n"/>
      <c r="H49" s="10">
        <f>IF($A49="","",SUMIFS('سجل المبيعات'!$C$2:$C$1001,'سجل المبيعات'!$B$2:$B$1001,$A49,'سجل المبيعات'!$H$2:$H$1001,2,'سجل المبيعات'!$G$2:$G$1001,الإعدادات!$B$2))</f>
        <v/>
      </c>
      <c r="I49" s="10" t="n"/>
      <c r="J49" s="10">
        <f>IF($A49="","",SUMIFS('سجل المبيعات'!$C$2:$C$1001,'سجل المبيعات'!$B$2:$B$1001,$A49,'سجل المبيعات'!$H$2:$H$1001,3,'سجل المبيعات'!$G$2:$G$1001,الإعدادات!$B$2))</f>
        <v/>
      </c>
      <c r="K49" s="10" t="n"/>
      <c r="L49" s="10">
        <f>IF($A49="","",SUMIFS('سجل المبيعات'!$C$2:$C$1001,'سجل المبيعات'!$B$2:$B$1001,$A49,'سجل المبيعات'!$H$2:$H$1001,4,'سجل المبيعات'!$G$2:$G$1001,الإعدادات!$B$2))</f>
        <v/>
      </c>
      <c r="M49" s="12">
        <f>IF($A49="","",IFERROR(CHOOSE(ROUNDUP(MONTH(TODAY())/3,0),$F49/$E49,$H49/$G49,$J49/$I49,$L49/$K49),0))</f>
        <v/>
      </c>
    </row>
    <row r="50">
      <c r="A50" s="6" t="n"/>
      <c r="B50" s="6" t="n"/>
      <c r="C50" s="6" t="n"/>
      <c r="D50" s="6" t="n"/>
      <c r="E50" s="8" t="n"/>
      <c r="F50" s="8">
        <f>IF($A50="","",SUMIFS('سجل المبيعات'!$C$2:$C$1001,'سجل المبيعات'!$B$2:$B$1001,$A50,'سجل المبيعات'!$H$2:$H$1001,1,'سجل المبيعات'!$G$2:$G$1001,الإعدادات!$B$2))</f>
        <v/>
      </c>
      <c r="G50" s="8" t="n"/>
      <c r="H50" s="8">
        <f>IF($A50="","",SUMIFS('سجل المبيعات'!$C$2:$C$1001,'سجل المبيعات'!$B$2:$B$1001,$A50,'سجل المبيعات'!$H$2:$H$1001,2,'سجل المبيعات'!$G$2:$G$1001,الإعدادات!$B$2))</f>
        <v/>
      </c>
      <c r="I50" s="8" t="n"/>
      <c r="J50" s="8">
        <f>IF($A50="","",SUMIFS('سجل المبيعات'!$C$2:$C$1001,'سجل المبيعات'!$B$2:$B$1001,$A50,'سجل المبيعات'!$H$2:$H$1001,3,'سجل المبيعات'!$G$2:$G$1001,الإعدادات!$B$2))</f>
        <v/>
      </c>
      <c r="K50" s="8" t="n"/>
      <c r="L50" s="8">
        <f>IF($A50="","",SUMIFS('سجل المبيعات'!$C$2:$C$1001,'سجل المبيعات'!$B$2:$B$1001,$A50,'سجل المبيعات'!$H$2:$H$1001,4,'سجل المبيعات'!$G$2:$G$1001,الإعدادات!$B$2))</f>
        <v/>
      </c>
      <c r="M50" s="11">
        <f>IF($A50="","",IFERROR(CHOOSE(ROUNDUP(MONTH(TODAY())/3,0),$F50/$E50,$H50/$G50,$J50/$I50,$L50/$K50),0))</f>
        <v/>
      </c>
    </row>
    <row r="51">
      <c r="A51" s="9" t="n"/>
      <c r="B51" s="9" t="n"/>
      <c r="C51" s="9" t="n"/>
      <c r="D51" s="9" t="n"/>
      <c r="E51" s="10" t="n"/>
      <c r="F51" s="10">
        <f>IF($A51="","",SUMIFS('سجل المبيعات'!$C$2:$C$1001,'سجل المبيعات'!$B$2:$B$1001,$A51,'سجل المبيعات'!$H$2:$H$1001,1,'سجل المبيعات'!$G$2:$G$1001,الإعدادات!$B$2))</f>
        <v/>
      </c>
      <c r="G51" s="10" t="n"/>
      <c r="H51" s="10">
        <f>IF($A51="","",SUMIFS('سجل المبيعات'!$C$2:$C$1001,'سجل المبيعات'!$B$2:$B$1001,$A51,'سجل المبيعات'!$H$2:$H$1001,2,'سجل المبيعات'!$G$2:$G$1001,الإعدادات!$B$2))</f>
        <v/>
      </c>
      <c r="I51" s="10" t="n"/>
      <c r="J51" s="10">
        <f>IF($A51="","",SUMIFS('سجل المبيعات'!$C$2:$C$1001,'سجل المبيعات'!$B$2:$B$1001,$A51,'سجل المبيعات'!$H$2:$H$1001,3,'سجل المبيعات'!$G$2:$G$1001,الإعدادات!$B$2))</f>
        <v/>
      </c>
      <c r="K51" s="10" t="n"/>
      <c r="L51" s="10">
        <f>IF($A51="","",SUMIFS('سجل المبيعات'!$C$2:$C$1001,'سجل المبيعات'!$B$2:$B$1001,$A51,'سجل المبيعات'!$H$2:$H$1001,4,'سجل المبيعات'!$G$2:$G$1001,الإعدادات!$B$2))</f>
        <v/>
      </c>
      <c r="M51" s="12">
        <f>IF($A51="","",IFERROR(CHOOSE(ROUNDUP(MONTH(TODAY())/3,0),$F51/$E51,$H51/$G51,$J51/$I51,$L51/$K51),0))</f>
        <v/>
      </c>
    </row>
    <row r="52">
      <c r="A52" s="6" t="n"/>
      <c r="B52" s="6" t="n"/>
      <c r="C52" s="6" t="n"/>
      <c r="D52" s="6" t="n"/>
      <c r="E52" s="8" t="n"/>
      <c r="F52" s="8">
        <f>IF($A52="","",SUMIFS('سجل المبيعات'!$C$2:$C$1001,'سجل المبيعات'!$B$2:$B$1001,$A52,'سجل المبيعات'!$H$2:$H$1001,1,'سجل المبيعات'!$G$2:$G$1001,الإعدادات!$B$2))</f>
        <v/>
      </c>
      <c r="G52" s="8" t="n"/>
      <c r="H52" s="8">
        <f>IF($A52="","",SUMIFS('سجل المبيعات'!$C$2:$C$1001,'سجل المبيعات'!$B$2:$B$1001,$A52,'سجل المبيعات'!$H$2:$H$1001,2,'سجل المبيعات'!$G$2:$G$1001,الإعدادات!$B$2))</f>
        <v/>
      </c>
      <c r="I52" s="8" t="n"/>
      <c r="J52" s="8">
        <f>IF($A52="","",SUMIFS('سجل المبيعات'!$C$2:$C$1001,'سجل المبيعات'!$B$2:$B$1001,$A52,'سجل المبيعات'!$H$2:$H$1001,3,'سجل المبيعات'!$G$2:$G$1001,الإعدادات!$B$2))</f>
        <v/>
      </c>
      <c r="K52" s="8" t="n"/>
      <c r="L52" s="8">
        <f>IF($A52="","",SUMIFS('سجل المبيعات'!$C$2:$C$1001,'سجل المبيعات'!$B$2:$B$1001,$A52,'سجل المبيعات'!$H$2:$H$1001,4,'سجل المبيعات'!$G$2:$G$1001,الإعدادات!$B$2))</f>
        <v/>
      </c>
      <c r="M52" s="11">
        <f>IF($A52="","",IFERROR(CHOOSE(ROUNDUP(MONTH(TODAY())/3,0),$F52/$E52,$H52/$G52,$J52/$I52,$L52/$K52),0))</f>
        <v/>
      </c>
    </row>
    <row r="53">
      <c r="A53" s="9" t="n"/>
      <c r="B53" s="9" t="n"/>
      <c r="C53" s="9" t="n"/>
      <c r="D53" s="9" t="n"/>
      <c r="E53" s="10" t="n"/>
      <c r="F53" s="10">
        <f>IF($A53="","",SUMIFS('سجل المبيعات'!$C$2:$C$1001,'سجل المبيعات'!$B$2:$B$1001,$A53,'سجل المبيعات'!$H$2:$H$1001,1,'سجل المبيعات'!$G$2:$G$1001,الإعدادات!$B$2))</f>
        <v/>
      </c>
      <c r="G53" s="10" t="n"/>
      <c r="H53" s="10">
        <f>IF($A53="","",SUMIFS('سجل المبيعات'!$C$2:$C$1001,'سجل المبيعات'!$B$2:$B$1001,$A53,'سجل المبيعات'!$H$2:$H$1001,2,'سجل المبيعات'!$G$2:$G$1001,الإعدادات!$B$2))</f>
        <v/>
      </c>
      <c r="I53" s="10" t="n"/>
      <c r="J53" s="10">
        <f>IF($A53="","",SUMIFS('سجل المبيعات'!$C$2:$C$1001,'سجل المبيعات'!$B$2:$B$1001,$A53,'سجل المبيعات'!$H$2:$H$1001,3,'سجل المبيعات'!$G$2:$G$1001,الإعدادات!$B$2))</f>
        <v/>
      </c>
      <c r="K53" s="10" t="n"/>
      <c r="L53" s="10">
        <f>IF($A53="","",SUMIFS('سجل المبيعات'!$C$2:$C$1001,'سجل المبيعات'!$B$2:$B$1001,$A53,'سجل المبيعات'!$H$2:$H$1001,4,'سجل المبيعات'!$G$2:$G$1001,الإعدادات!$B$2))</f>
        <v/>
      </c>
      <c r="M53" s="12">
        <f>IF($A53="","",IFERROR(CHOOSE(ROUNDUP(MONTH(TODAY())/3,0),$F53/$E53,$H53/$G53,$J53/$I53,$L53/$K53),0))</f>
        <v/>
      </c>
    </row>
    <row r="54">
      <c r="A54" s="6" t="n"/>
      <c r="B54" s="6" t="n"/>
      <c r="C54" s="6" t="n"/>
      <c r="D54" s="6" t="n"/>
      <c r="E54" s="8" t="n"/>
      <c r="F54" s="8">
        <f>IF($A54="","",SUMIFS('سجل المبيعات'!$C$2:$C$1001,'سجل المبيعات'!$B$2:$B$1001,$A54,'سجل المبيعات'!$H$2:$H$1001,1,'سجل المبيعات'!$G$2:$G$1001,الإعدادات!$B$2))</f>
        <v/>
      </c>
      <c r="G54" s="8" t="n"/>
      <c r="H54" s="8">
        <f>IF($A54="","",SUMIFS('سجل المبيعات'!$C$2:$C$1001,'سجل المبيعات'!$B$2:$B$1001,$A54,'سجل المبيعات'!$H$2:$H$1001,2,'سجل المبيعات'!$G$2:$G$1001,الإعدادات!$B$2))</f>
        <v/>
      </c>
      <c r="I54" s="8" t="n"/>
      <c r="J54" s="8">
        <f>IF($A54="","",SUMIFS('سجل المبيعات'!$C$2:$C$1001,'سجل المبيعات'!$B$2:$B$1001,$A54,'سجل المبيعات'!$H$2:$H$1001,3,'سجل المبيعات'!$G$2:$G$1001,الإعدادات!$B$2))</f>
        <v/>
      </c>
      <c r="K54" s="8" t="n"/>
      <c r="L54" s="8">
        <f>IF($A54="","",SUMIFS('سجل المبيعات'!$C$2:$C$1001,'سجل المبيعات'!$B$2:$B$1001,$A54,'سجل المبيعات'!$H$2:$H$1001,4,'سجل المبيعات'!$G$2:$G$1001,الإعدادات!$B$2))</f>
        <v/>
      </c>
      <c r="M54" s="11">
        <f>IF($A54="","",IFERROR(CHOOSE(ROUNDUP(MONTH(TODAY())/3,0),$F54/$E54,$H54/$G54,$J54/$I54,$L54/$K54),0))</f>
        <v/>
      </c>
    </row>
    <row r="55">
      <c r="A55" s="9" t="n"/>
      <c r="B55" s="9" t="n"/>
      <c r="C55" s="9" t="n"/>
      <c r="D55" s="9" t="n"/>
      <c r="E55" s="10" t="n"/>
      <c r="F55" s="10">
        <f>IF($A55="","",SUMIFS('سجل المبيعات'!$C$2:$C$1001,'سجل المبيعات'!$B$2:$B$1001,$A55,'سجل المبيعات'!$H$2:$H$1001,1,'سجل المبيعات'!$G$2:$G$1001,الإعدادات!$B$2))</f>
        <v/>
      </c>
      <c r="G55" s="10" t="n"/>
      <c r="H55" s="10">
        <f>IF($A55="","",SUMIFS('سجل المبيعات'!$C$2:$C$1001,'سجل المبيعات'!$B$2:$B$1001,$A55,'سجل المبيعات'!$H$2:$H$1001,2,'سجل المبيعات'!$G$2:$G$1001,الإعدادات!$B$2))</f>
        <v/>
      </c>
      <c r="I55" s="10" t="n"/>
      <c r="J55" s="10">
        <f>IF($A55="","",SUMIFS('سجل المبيعات'!$C$2:$C$1001,'سجل المبيعات'!$B$2:$B$1001,$A55,'سجل المبيعات'!$H$2:$H$1001,3,'سجل المبيعات'!$G$2:$G$1001,الإعدادات!$B$2))</f>
        <v/>
      </c>
      <c r="K55" s="10" t="n"/>
      <c r="L55" s="10">
        <f>IF($A55="","",SUMIFS('سجل المبيعات'!$C$2:$C$1001,'سجل المبيعات'!$B$2:$B$1001,$A55,'سجل المبيعات'!$H$2:$H$1001,4,'سجل المبيعات'!$G$2:$G$1001,الإعدادات!$B$2))</f>
        <v/>
      </c>
      <c r="M55" s="12">
        <f>IF($A55="","",IFERROR(CHOOSE(ROUNDUP(MONTH(TODAY())/3,0),$F55/$E55,$H55/$G55,$J55/$I55,$L55/$K55),0))</f>
        <v/>
      </c>
    </row>
    <row r="56">
      <c r="A56" s="6" t="n"/>
      <c r="B56" s="6" t="n"/>
      <c r="C56" s="6" t="n"/>
      <c r="D56" s="6" t="n"/>
      <c r="E56" s="8" t="n"/>
      <c r="F56" s="8">
        <f>IF($A56="","",SUMIFS('سجل المبيعات'!$C$2:$C$1001,'سجل المبيعات'!$B$2:$B$1001,$A56,'سجل المبيعات'!$H$2:$H$1001,1,'سجل المبيعات'!$G$2:$G$1001,الإعدادات!$B$2))</f>
        <v/>
      </c>
      <c r="G56" s="8" t="n"/>
      <c r="H56" s="8">
        <f>IF($A56="","",SUMIFS('سجل المبيعات'!$C$2:$C$1001,'سجل المبيعات'!$B$2:$B$1001,$A56,'سجل المبيعات'!$H$2:$H$1001,2,'سجل المبيعات'!$G$2:$G$1001,الإعدادات!$B$2))</f>
        <v/>
      </c>
      <c r="I56" s="8" t="n"/>
      <c r="J56" s="8">
        <f>IF($A56="","",SUMIFS('سجل المبيعات'!$C$2:$C$1001,'سجل المبيعات'!$B$2:$B$1001,$A56,'سجل المبيعات'!$H$2:$H$1001,3,'سجل المبيعات'!$G$2:$G$1001,الإعدادات!$B$2))</f>
        <v/>
      </c>
      <c r="K56" s="8" t="n"/>
      <c r="L56" s="8">
        <f>IF($A56="","",SUMIFS('سجل المبيعات'!$C$2:$C$1001,'سجل المبيعات'!$B$2:$B$1001,$A56,'سجل المبيعات'!$H$2:$H$1001,4,'سجل المبيعات'!$G$2:$G$1001,الإعدادات!$B$2))</f>
        <v/>
      </c>
      <c r="M56" s="11">
        <f>IF($A56="","",IFERROR(CHOOSE(ROUNDUP(MONTH(TODAY())/3,0),$F56/$E56,$H56/$G56,$J56/$I56,$L56/$K56),0))</f>
        <v/>
      </c>
    </row>
    <row r="57">
      <c r="A57" s="9" t="n"/>
      <c r="B57" s="9" t="n"/>
      <c r="C57" s="9" t="n"/>
      <c r="D57" s="9" t="n"/>
      <c r="E57" s="10" t="n"/>
      <c r="F57" s="10">
        <f>IF($A57="","",SUMIFS('سجل المبيعات'!$C$2:$C$1001,'سجل المبيعات'!$B$2:$B$1001,$A57,'سجل المبيعات'!$H$2:$H$1001,1,'سجل المبيعات'!$G$2:$G$1001,الإعدادات!$B$2))</f>
        <v/>
      </c>
      <c r="G57" s="10" t="n"/>
      <c r="H57" s="10">
        <f>IF($A57="","",SUMIFS('سجل المبيعات'!$C$2:$C$1001,'سجل المبيعات'!$B$2:$B$1001,$A57,'سجل المبيعات'!$H$2:$H$1001,2,'سجل المبيعات'!$G$2:$G$1001,الإعدادات!$B$2))</f>
        <v/>
      </c>
      <c r="I57" s="10" t="n"/>
      <c r="J57" s="10">
        <f>IF($A57="","",SUMIFS('سجل المبيعات'!$C$2:$C$1001,'سجل المبيعات'!$B$2:$B$1001,$A57,'سجل المبيعات'!$H$2:$H$1001,3,'سجل المبيعات'!$G$2:$G$1001,الإعدادات!$B$2))</f>
        <v/>
      </c>
      <c r="K57" s="10" t="n"/>
      <c r="L57" s="10">
        <f>IF($A57="","",SUMIFS('سجل المبيعات'!$C$2:$C$1001,'سجل المبيعات'!$B$2:$B$1001,$A57,'سجل المبيعات'!$H$2:$H$1001,4,'سجل المبيعات'!$G$2:$G$1001,الإعدادات!$B$2))</f>
        <v/>
      </c>
      <c r="M57" s="12">
        <f>IF($A57="","",IFERROR(CHOOSE(ROUNDUP(MONTH(TODAY())/3,0),$F57/$E57,$H57/$G57,$J57/$I57,$L57/$K57),0))</f>
        <v/>
      </c>
    </row>
    <row r="58">
      <c r="A58" s="6" t="n"/>
      <c r="B58" s="6" t="n"/>
      <c r="C58" s="6" t="n"/>
      <c r="D58" s="6" t="n"/>
      <c r="E58" s="8" t="n"/>
      <c r="F58" s="8">
        <f>IF($A58="","",SUMIFS('سجل المبيعات'!$C$2:$C$1001,'سجل المبيعات'!$B$2:$B$1001,$A58,'سجل المبيعات'!$H$2:$H$1001,1,'سجل المبيعات'!$G$2:$G$1001,الإعدادات!$B$2))</f>
        <v/>
      </c>
      <c r="G58" s="8" t="n"/>
      <c r="H58" s="8">
        <f>IF($A58="","",SUMIFS('سجل المبيعات'!$C$2:$C$1001,'سجل المبيعات'!$B$2:$B$1001,$A58,'سجل المبيعات'!$H$2:$H$1001,2,'سجل المبيعات'!$G$2:$G$1001,الإعدادات!$B$2))</f>
        <v/>
      </c>
      <c r="I58" s="8" t="n"/>
      <c r="J58" s="8">
        <f>IF($A58="","",SUMIFS('سجل المبيعات'!$C$2:$C$1001,'سجل المبيعات'!$B$2:$B$1001,$A58,'سجل المبيعات'!$H$2:$H$1001,3,'سجل المبيعات'!$G$2:$G$1001,الإعدادات!$B$2))</f>
        <v/>
      </c>
      <c r="K58" s="8" t="n"/>
      <c r="L58" s="8">
        <f>IF($A58="","",SUMIFS('سجل المبيعات'!$C$2:$C$1001,'سجل المبيعات'!$B$2:$B$1001,$A58,'سجل المبيعات'!$H$2:$H$1001,4,'سجل المبيعات'!$G$2:$G$1001,الإعدادات!$B$2))</f>
        <v/>
      </c>
      <c r="M58" s="11">
        <f>IF($A58="","",IFERROR(CHOOSE(ROUNDUP(MONTH(TODAY())/3,0),$F58/$E58,$H58/$G58,$J58/$I58,$L58/$K58),0))</f>
        <v/>
      </c>
    </row>
    <row r="59">
      <c r="A59" s="9" t="n"/>
      <c r="B59" s="9" t="n"/>
      <c r="C59" s="9" t="n"/>
      <c r="D59" s="9" t="n"/>
      <c r="E59" s="10" t="n"/>
      <c r="F59" s="10">
        <f>IF($A59="","",SUMIFS('سجل المبيعات'!$C$2:$C$1001,'سجل المبيعات'!$B$2:$B$1001,$A59,'سجل المبيعات'!$H$2:$H$1001,1,'سجل المبيعات'!$G$2:$G$1001,الإعدادات!$B$2))</f>
        <v/>
      </c>
      <c r="G59" s="10" t="n"/>
      <c r="H59" s="10">
        <f>IF($A59="","",SUMIFS('سجل المبيعات'!$C$2:$C$1001,'سجل المبيعات'!$B$2:$B$1001,$A59,'سجل المبيعات'!$H$2:$H$1001,2,'سجل المبيعات'!$G$2:$G$1001,الإعدادات!$B$2))</f>
        <v/>
      </c>
      <c r="I59" s="10" t="n"/>
      <c r="J59" s="10">
        <f>IF($A59="","",SUMIFS('سجل المبيعات'!$C$2:$C$1001,'سجل المبيعات'!$B$2:$B$1001,$A59,'سجل المبيعات'!$H$2:$H$1001,3,'سجل المبيعات'!$G$2:$G$1001,الإعدادات!$B$2))</f>
        <v/>
      </c>
      <c r="K59" s="10" t="n"/>
      <c r="L59" s="10">
        <f>IF($A59="","",SUMIFS('سجل المبيعات'!$C$2:$C$1001,'سجل المبيعات'!$B$2:$B$1001,$A59,'سجل المبيعات'!$H$2:$H$1001,4,'سجل المبيعات'!$G$2:$G$1001,الإعدادات!$B$2))</f>
        <v/>
      </c>
      <c r="M59" s="12">
        <f>IF($A59="","",IFERROR(CHOOSE(ROUNDUP(MONTH(TODAY())/3,0),$F59/$E59,$H59/$G59,$J59/$I59,$L59/$K59),0))</f>
        <v/>
      </c>
    </row>
    <row r="60">
      <c r="A60" s="6" t="n"/>
      <c r="B60" s="6" t="n"/>
      <c r="C60" s="6" t="n"/>
      <c r="D60" s="6" t="n"/>
      <c r="E60" s="8" t="n"/>
      <c r="F60" s="8">
        <f>IF($A60="","",SUMIFS('سجل المبيعات'!$C$2:$C$1001,'سجل المبيعات'!$B$2:$B$1001,$A60,'سجل المبيعات'!$H$2:$H$1001,1,'سجل المبيعات'!$G$2:$G$1001,الإعدادات!$B$2))</f>
        <v/>
      </c>
      <c r="G60" s="8" t="n"/>
      <c r="H60" s="8">
        <f>IF($A60="","",SUMIFS('سجل المبيعات'!$C$2:$C$1001,'سجل المبيعات'!$B$2:$B$1001,$A60,'سجل المبيعات'!$H$2:$H$1001,2,'سجل المبيعات'!$G$2:$G$1001,الإعدادات!$B$2))</f>
        <v/>
      </c>
      <c r="I60" s="8" t="n"/>
      <c r="J60" s="8">
        <f>IF($A60="","",SUMIFS('سجل المبيعات'!$C$2:$C$1001,'سجل المبيعات'!$B$2:$B$1001,$A60,'سجل المبيعات'!$H$2:$H$1001,3,'سجل المبيعات'!$G$2:$G$1001,الإعدادات!$B$2))</f>
        <v/>
      </c>
      <c r="K60" s="8" t="n"/>
      <c r="L60" s="8">
        <f>IF($A60="","",SUMIFS('سجل المبيعات'!$C$2:$C$1001,'سجل المبيعات'!$B$2:$B$1001,$A60,'سجل المبيعات'!$H$2:$H$1001,4,'سجل المبيعات'!$G$2:$G$1001,الإعدادات!$B$2))</f>
        <v/>
      </c>
      <c r="M60" s="11">
        <f>IF($A60="","",IFERROR(CHOOSE(ROUNDUP(MONTH(TODAY())/3,0),$F60/$E60,$H60/$G60,$J60/$I60,$L60/$K60),0))</f>
        <v/>
      </c>
    </row>
    <row r="61">
      <c r="A61" s="9" t="n"/>
      <c r="B61" s="9" t="n"/>
      <c r="C61" s="9" t="n"/>
      <c r="D61" s="9" t="n"/>
      <c r="E61" s="10" t="n"/>
      <c r="F61" s="10">
        <f>IF($A61="","",SUMIFS('سجل المبيعات'!$C$2:$C$1001,'سجل المبيعات'!$B$2:$B$1001,$A61,'سجل المبيعات'!$H$2:$H$1001,1,'سجل المبيعات'!$G$2:$G$1001,الإعدادات!$B$2))</f>
        <v/>
      </c>
      <c r="G61" s="10" t="n"/>
      <c r="H61" s="10">
        <f>IF($A61="","",SUMIFS('سجل المبيعات'!$C$2:$C$1001,'سجل المبيعات'!$B$2:$B$1001,$A61,'سجل المبيعات'!$H$2:$H$1001,2,'سجل المبيعات'!$G$2:$G$1001,الإعدادات!$B$2))</f>
        <v/>
      </c>
      <c r="I61" s="10" t="n"/>
      <c r="J61" s="10">
        <f>IF($A61="","",SUMIFS('سجل المبيعات'!$C$2:$C$1001,'سجل المبيعات'!$B$2:$B$1001,$A61,'سجل المبيعات'!$H$2:$H$1001,3,'سجل المبيعات'!$G$2:$G$1001,الإعدادات!$B$2))</f>
        <v/>
      </c>
      <c r="K61" s="10" t="n"/>
      <c r="L61" s="10">
        <f>IF($A61="","",SUMIFS('سجل المبيعات'!$C$2:$C$1001,'سجل المبيعات'!$B$2:$B$1001,$A61,'سجل المبيعات'!$H$2:$H$1001,4,'سجل المبيعات'!$G$2:$G$1001,الإعدادات!$B$2))</f>
        <v/>
      </c>
      <c r="M61" s="12">
        <f>IF($A61="","",IFERROR(CHOOSE(ROUNDUP(MONTH(TODAY())/3,0),$F61/$E61,$H61/$G61,$J61/$I61,$L61/$K61),0))</f>
        <v/>
      </c>
    </row>
  </sheetData>
  <conditionalFormatting sqref="M2:M61">
    <cfRule type="colorScale" priority="1">
      <colorScale>
        <cfvo type="num" val="0"/>
        <cfvo type="num" val="0.5"/>
        <cfvo type="num" val="1"/>
        <color rgb="00F4C7C3"/>
        <color rgb="00FDE9A8"/>
        <color rgb="00B7E4C7"/>
      </colorScale>
    </cfRule>
  </conditionalFormatting>
  <dataValidations count="1">
    <dataValidation sqref="C2:C61" showDropDown="0" showInputMessage="0" showErrorMessage="0" allowBlank="1" errorTitle="فرع غير معروف" error="اختر فرعاً من القائمة" type="list">
      <formula1>=Teams!$A$2:$A$31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6338"/>
    <outlinePr summaryBelow="1" summaryRight="1"/>
    <pageSetUpPr/>
  </sheetPr>
  <dimension ref="A1:H10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4" customWidth="1" min="4" max="4"/>
    <col width="30" customWidth="1" min="5" max="5"/>
    <col width="18" customWidth="1" min="6" max="6"/>
    <col width="10" customWidth="1" min="7" max="7"/>
    <col width="8" customWidth="1" min="8" max="8"/>
  </cols>
  <sheetData>
    <row r="1" ht="30" customHeight="1">
      <c r="A1" s="5" t="inlineStr">
        <is>
          <t>الطابع الزمني (يملؤه Google Form تلقائياً)</t>
        </is>
      </c>
      <c r="B1" s="5" t="inlineStr">
        <is>
          <t>اسم المستشار</t>
        </is>
      </c>
      <c r="C1" s="5" t="inlineStr">
        <is>
          <t>قيمة الصفقة (ج.م)</t>
        </is>
      </c>
      <c r="D1" s="5" t="inlineStr">
        <is>
          <t>تاريخ الصفقة</t>
        </is>
      </c>
      <c r="E1" s="5" t="inlineStr">
        <is>
          <t>ملاحظات</t>
        </is>
      </c>
      <c r="F1" s="5" t="inlineStr">
        <is>
          <t>اسم الفريق</t>
        </is>
      </c>
      <c r="G1" s="5" t="inlineStr">
        <is>
          <t>السنة</t>
        </is>
      </c>
      <c r="H1" s="5" t="inlineStr">
        <is>
          <t>الربع</t>
        </is>
      </c>
    </row>
    <row r="2">
      <c r="A2" s="13" t="n">
        <v>46215.375</v>
      </c>
      <c r="B2" s="6" t="inlineStr">
        <is>
          <t>Omar Khaled</t>
        </is>
      </c>
      <c r="C2" s="8" t="n">
        <v>850000</v>
      </c>
      <c r="D2" s="14" t="n">
        <v>46215</v>
      </c>
      <c r="E2" s="6" t="inlineStr">
        <is>
          <t>شقة - العاصمة الإدارية</t>
        </is>
      </c>
      <c r="F2" s="6">
        <f>IF($B2="","",IFERROR(VLOOKUP($B2,Agents!$A:$C,3,FALSE),"؟"))</f>
        <v/>
      </c>
      <c r="G2" s="6">
        <f>IF($D2="","",YEAR($D2))</f>
        <v/>
      </c>
      <c r="H2" s="6">
        <f>IF($D2="","",ROUNDUP(MONTH($D2)/3,0))</f>
        <v/>
      </c>
    </row>
    <row r="3">
      <c r="A3" s="15" t="n">
        <v>46237.375</v>
      </c>
      <c r="B3" s="9" t="inlineStr">
        <is>
          <t>Omar Khaled</t>
        </is>
      </c>
      <c r="C3" s="10" t="n">
        <v>900000</v>
      </c>
      <c r="D3" s="16" t="n">
        <v>46237</v>
      </c>
      <c r="E3" s="9" t="inlineStr">
        <is>
          <t>فيلا</t>
        </is>
      </c>
      <c r="F3" s="9">
        <f>IF($B3="","",IFERROR(VLOOKUP($B3,Agents!$A:$C,3,FALSE),"؟"))</f>
        <v/>
      </c>
      <c r="G3" s="9">
        <f>IF($D3="","",YEAR($D3))</f>
        <v/>
      </c>
      <c r="H3" s="9">
        <f>IF($D3="","",ROUNDUP(MONTH($D3)/3,0))</f>
        <v/>
      </c>
    </row>
    <row r="4">
      <c r="A4" s="13" t="n">
        <v>46223.375</v>
      </c>
      <c r="B4" s="6" t="inlineStr">
        <is>
          <t>Nour Ibrahim</t>
        </is>
      </c>
      <c r="C4" s="8" t="n">
        <v>1200000</v>
      </c>
      <c r="D4" s="14" t="n">
        <v>46223</v>
      </c>
      <c r="E4" s="6" t="inlineStr"/>
      <c r="F4" s="6">
        <f>IF($B4="","",IFERROR(VLOOKUP($B4,Agents!$A:$C,3,FALSE),"؟"))</f>
        <v/>
      </c>
      <c r="G4" s="6">
        <f>IF($D4="","",YEAR($D4))</f>
        <v/>
      </c>
      <c r="H4" s="6">
        <f>IF($D4="","",ROUNDUP(MONTH($D4)/3,0))</f>
        <v/>
      </c>
    </row>
    <row r="5">
      <c r="A5" s="15" t="n">
        <v>46266.375</v>
      </c>
      <c r="B5" s="9" t="inlineStr">
        <is>
          <t>Mariam Adel</t>
        </is>
      </c>
      <c r="C5" s="10" t="n">
        <v>700000</v>
      </c>
      <c r="D5" s="16" t="n">
        <v>46266</v>
      </c>
      <c r="E5" s="9" t="inlineStr">
        <is>
          <t>دفعة أولى</t>
        </is>
      </c>
      <c r="F5" s="9">
        <f>IF($B5="","",IFERROR(VLOOKUP($B5,Agents!$A:$C,3,FALSE),"؟"))</f>
        <v/>
      </c>
      <c r="G5" s="9">
        <f>IF($D5="","",YEAR($D5))</f>
        <v/>
      </c>
      <c r="H5" s="9">
        <f>IF($D5="","",ROUNDUP(MONTH($D5)/3,0))</f>
        <v/>
      </c>
    </row>
    <row r="6">
      <c r="A6" s="13" t="n">
        <v>46127.375</v>
      </c>
      <c r="B6" s="6" t="inlineStr">
        <is>
          <t>Youssef Hassan</t>
        </is>
      </c>
      <c r="C6" s="8" t="n">
        <v>500000</v>
      </c>
      <c r="D6" s="14" t="n">
        <v>46127</v>
      </c>
      <c r="E6" s="6" t="inlineStr">
        <is>
          <t>الربع الثاني</t>
        </is>
      </c>
      <c r="F6" s="6">
        <f>IF($B6="","",IFERROR(VLOOKUP($B6,Agents!$A:$C,3,FALSE),"؟"))</f>
        <v/>
      </c>
      <c r="G6" s="6">
        <f>IF($D6="","",YEAR($D6))</f>
        <v/>
      </c>
      <c r="H6" s="6">
        <f>IF($D6="","",ROUNDUP(MONTH($D6)/3,0))</f>
        <v/>
      </c>
    </row>
    <row r="7">
      <c r="A7" s="9" t="n"/>
      <c r="B7" s="9" t="n"/>
      <c r="C7" s="10" t="n"/>
      <c r="D7" s="16" t="n"/>
      <c r="E7" s="9" t="n"/>
      <c r="F7" s="9">
        <f>IF($B7="","",IFERROR(VLOOKUP($B7,Agents!$A:$C,3,FALSE),"؟"))</f>
        <v/>
      </c>
      <c r="G7" s="9">
        <f>IF($D7="","",YEAR($D7))</f>
        <v/>
      </c>
      <c r="H7" s="9">
        <f>IF($D7="","",ROUNDUP(MONTH($D7)/3,0))</f>
        <v/>
      </c>
    </row>
    <row r="8">
      <c r="A8" s="6" t="n"/>
      <c r="B8" s="6" t="n"/>
      <c r="C8" s="8" t="n"/>
      <c r="D8" s="14" t="n"/>
      <c r="E8" s="6" t="n"/>
      <c r="F8" s="6">
        <f>IF($B8="","",IFERROR(VLOOKUP($B8,Agents!$A:$C,3,FALSE),"؟"))</f>
        <v/>
      </c>
      <c r="G8" s="6">
        <f>IF($D8="","",YEAR($D8))</f>
        <v/>
      </c>
      <c r="H8" s="6">
        <f>IF($D8="","",ROUNDUP(MONTH($D8)/3,0))</f>
        <v/>
      </c>
    </row>
    <row r="9">
      <c r="A9" s="9" t="n"/>
      <c r="B9" s="9" t="n"/>
      <c r="C9" s="10" t="n"/>
      <c r="D9" s="16" t="n"/>
      <c r="E9" s="9" t="n"/>
      <c r="F9" s="9">
        <f>IF($B9="","",IFERROR(VLOOKUP($B9,Agents!$A:$C,3,FALSE),"؟"))</f>
        <v/>
      </c>
      <c r="G9" s="9">
        <f>IF($D9="","",YEAR($D9))</f>
        <v/>
      </c>
      <c r="H9" s="9">
        <f>IF($D9="","",ROUNDUP(MONTH($D9)/3,0))</f>
        <v/>
      </c>
    </row>
    <row r="10">
      <c r="A10" s="6" t="n"/>
      <c r="B10" s="6" t="n"/>
      <c r="C10" s="8" t="n"/>
      <c r="D10" s="14" t="n"/>
      <c r="E10" s="6" t="n"/>
      <c r="F10" s="6">
        <f>IF($B10="","",IFERROR(VLOOKUP($B10,Agents!$A:$C,3,FALSE),"؟"))</f>
        <v/>
      </c>
      <c r="G10" s="6">
        <f>IF($D10="","",YEAR($D10))</f>
        <v/>
      </c>
      <c r="H10" s="6">
        <f>IF($D10="","",ROUNDUP(MONTH($D10)/3,0))</f>
        <v/>
      </c>
    </row>
    <row r="11">
      <c r="A11" s="9" t="n"/>
      <c r="B11" s="9" t="n"/>
      <c r="C11" s="10" t="n"/>
      <c r="D11" s="16" t="n"/>
      <c r="E11" s="9" t="n"/>
      <c r="F11" s="9">
        <f>IF($B11="","",IFERROR(VLOOKUP($B11,Agents!$A:$C,3,FALSE),"؟"))</f>
        <v/>
      </c>
      <c r="G11" s="9">
        <f>IF($D11="","",YEAR($D11))</f>
        <v/>
      </c>
      <c r="H11" s="9">
        <f>IF($D11="","",ROUNDUP(MONTH($D11)/3,0))</f>
        <v/>
      </c>
    </row>
    <row r="12">
      <c r="A12" s="6" t="n"/>
      <c r="B12" s="6" t="n"/>
      <c r="C12" s="8" t="n"/>
      <c r="D12" s="14" t="n"/>
      <c r="E12" s="6" t="n"/>
      <c r="F12" s="6">
        <f>IF($B12="","",IFERROR(VLOOKUP($B12,Agents!$A:$C,3,FALSE),"؟"))</f>
        <v/>
      </c>
      <c r="G12" s="6">
        <f>IF($D12="","",YEAR($D12))</f>
        <v/>
      </c>
      <c r="H12" s="6">
        <f>IF($D12="","",ROUNDUP(MONTH($D12)/3,0))</f>
        <v/>
      </c>
    </row>
    <row r="13">
      <c r="A13" s="9" t="n"/>
      <c r="B13" s="9" t="n"/>
      <c r="C13" s="10" t="n"/>
      <c r="D13" s="16" t="n"/>
      <c r="E13" s="9" t="n"/>
      <c r="F13" s="9">
        <f>IF($B13="","",IFERROR(VLOOKUP($B13,Agents!$A:$C,3,FALSE),"؟"))</f>
        <v/>
      </c>
      <c r="G13" s="9">
        <f>IF($D13="","",YEAR($D13))</f>
        <v/>
      </c>
      <c r="H13" s="9">
        <f>IF($D13="","",ROUNDUP(MONTH($D13)/3,0))</f>
        <v/>
      </c>
    </row>
    <row r="14">
      <c r="A14" s="6" t="n"/>
      <c r="B14" s="6" t="n"/>
      <c r="C14" s="8" t="n"/>
      <c r="D14" s="14" t="n"/>
      <c r="E14" s="6" t="n"/>
      <c r="F14" s="6">
        <f>IF($B14="","",IFERROR(VLOOKUP($B14,Agents!$A:$C,3,FALSE),"؟"))</f>
        <v/>
      </c>
      <c r="G14" s="6">
        <f>IF($D14="","",YEAR($D14))</f>
        <v/>
      </c>
      <c r="H14" s="6">
        <f>IF($D14="","",ROUNDUP(MONTH($D14)/3,0))</f>
        <v/>
      </c>
    </row>
    <row r="15">
      <c r="A15" s="9" t="n"/>
      <c r="B15" s="9" t="n"/>
      <c r="C15" s="10" t="n"/>
      <c r="D15" s="16" t="n"/>
      <c r="E15" s="9" t="n"/>
      <c r="F15" s="9">
        <f>IF($B15="","",IFERROR(VLOOKUP($B15,Agents!$A:$C,3,FALSE),"؟"))</f>
        <v/>
      </c>
      <c r="G15" s="9">
        <f>IF($D15="","",YEAR($D15))</f>
        <v/>
      </c>
      <c r="H15" s="9">
        <f>IF($D15="","",ROUNDUP(MONTH($D15)/3,0))</f>
        <v/>
      </c>
    </row>
    <row r="16">
      <c r="A16" s="6" t="n"/>
      <c r="B16" s="6" t="n"/>
      <c r="C16" s="8" t="n"/>
      <c r="D16" s="14" t="n"/>
      <c r="E16" s="6" t="n"/>
      <c r="F16" s="6">
        <f>IF($B16="","",IFERROR(VLOOKUP($B16,Agents!$A:$C,3,FALSE),"؟"))</f>
        <v/>
      </c>
      <c r="G16" s="6">
        <f>IF($D16="","",YEAR($D16))</f>
        <v/>
      </c>
      <c r="H16" s="6">
        <f>IF($D16="","",ROUNDUP(MONTH($D16)/3,0))</f>
        <v/>
      </c>
    </row>
    <row r="17">
      <c r="A17" s="9" t="n"/>
      <c r="B17" s="9" t="n"/>
      <c r="C17" s="10" t="n"/>
      <c r="D17" s="16" t="n"/>
      <c r="E17" s="9" t="n"/>
      <c r="F17" s="9">
        <f>IF($B17="","",IFERROR(VLOOKUP($B17,Agents!$A:$C,3,FALSE),"؟"))</f>
        <v/>
      </c>
      <c r="G17" s="9">
        <f>IF($D17="","",YEAR($D17))</f>
        <v/>
      </c>
      <c r="H17" s="9">
        <f>IF($D17="","",ROUNDUP(MONTH($D17)/3,0))</f>
        <v/>
      </c>
    </row>
    <row r="18">
      <c r="A18" s="6" t="n"/>
      <c r="B18" s="6" t="n"/>
      <c r="C18" s="8" t="n"/>
      <c r="D18" s="14" t="n"/>
      <c r="E18" s="6" t="n"/>
      <c r="F18" s="6">
        <f>IF($B18="","",IFERROR(VLOOKUP($B18,Agents!$A:$C,3,FALSE),"؟"))</f>
        <v/>
      </c>
      <c r="G18" s="6">
        <f>IF($D18="","",YEAR($D18))</f>
        <v/>
      </c>
      <c r="H18" s="6">
        <f>IF($D18="","",ROUNDUP(MONTH($D18)/3,0))</f>
        <v/>
      </c>
    </row>
    <row r="19">
      <c r="A19" s="9" t="n"/>
      <c r="B19" s="9" t="n"/>
      <c r="C19" s="10" t="n"/>
      <c r="D19" s="16" t="n"/>
      <c r="E19" s="9" t="n"/>
      <c r="F19" s="9">
        <f>IF($B19="","",IFERROR(VLOOKUP($B19,Agents!$A:$C,3,FALSE),"؟"))</f>
        <v/>
      </c>
      <c r="G19" s="9">
        <f>IF($D19="","",YEAR($D19))</f>
        <v/>
      </c>
      <c r="H19" s="9">
        <f>IF($D19="","",ROUNDUP(MONTH($D19)/3,0))</f>
        <v/>
      </c>
    </row>
    <row r="20">
      <c r="A20" s="6" t="n"/>
      <c r="B20" s="6" t="n"/>
      <c r="C20" s="8" t="n"/>
      <c r="D20" s="14" t="n"/>
      <c r="E20" s="6" t="n"/>
      <c r="F20" s="6">
        <f>IF($B20="","",IFERROR(VLOOKUP($B20,Agents!$A:$C,3,FALSE),"؟"))</f>
        <v/>
      </c>
      <c r="G20" s="6">
        <f>IF($D20="","",YEAR($D20))</f>
        <v/>
      </c>
      <c r="H20" s="6">
        <f>IF($D20="","",ROUNDUP(MONTH($D20)/3,0))</f>
        <v/>
      </c>
    </row>
    <row r="21">
      <c r="A21" s="9" t="n"/>
      <c r="B21" s="9" t="n"/>
      <c r="C21" s="10" t="n"/>
      <c r="D21" s="16" t="n"/>
      <c r="E21" s="9" t="n"/>
      <c r="F21" s="9">
        <f>IF($B21="","",IFERROR(VLOOKUP($B21,Agents!$A:$C,3,FALSE),"؟"))</f>
        <v/>
      </c>
      <c r="G21" s="9">
        <f>IF($D21="","",YEAR($D21))</f>
        <v/>
      </c>
      <c r="H21" s="9">
        <f>IF($D21="","",ROUNDUP(MONTH($D21)/3,0))</f>
        <v/>
      </c>
    </row>
    <row r="22">
      <c r="A22" s="6" t="n"/>
      <c r="B22" s="6" t="n"/>
      <c r="C22" s="8" t="n"/>
      <c r="D22" s="14" t="n"/>
      <c r="E22" s="6" t="n"/>
      <c r="F22" s="6">
        <f>IF($B22="","",IFERROR(VLOOKUP($B22,Agents!$A:$C,3,FALSE),"؟"))</f>
        <v/>
      </c>
      <c r="G22" s="6">
        <f>IF($D22="","",YEAR($D22))</f>
        <v/>
      </c>
      <c r="H22" s="6">
        <f>IF($D22="","",ROUNDUP(MONTH($D22)/3,0))</f>
        <v/>
      </c>
    </row>
    <row r="23">
      <c r="A23" s="9" t="n"/>
      <c r="B23" s="9" t="n"/>
      <c r="C23" s="10" t="n"/>
      <c r="D23" s="16" t="n"/>
      <c r="E23" s="9" t="n"/>
      <c r="F23" s="9">
        <f>IF($B23="","",IFERROR(VLOOKUP($B23,Agents!$A:$C,3,FALSE),"؟"))</f>
        <v/>
      </c>
      <c r="G23" s="9">
        <f>IF($D23="","",YEAR($D23))</f>
        <v/>
      </c>
      <c r="H23" s="9">
        <f>IF($D23="","",ROUNDUP(MONTH($D23)/3,0))</f>
        <v/>
      </c>
    </row>
    <row r="24">
      <c r="A24" s="6" t="n"/>
      <c r="B24" s="6" t="n"/>
      <c r="C24" s="8" t="n"/>
      <c r="D24" s="14" t="n"/>
      <c r="E24" s="6" t="n"/>
      <c r="F24" s="6">
        <f>IF($B24="","",IFERROR(VLOOKUP($B24,Agents!$A:$C,3,FALSE),"؟"))</f>
        <v/>
      </c>
      <c r="G24" s="6">
        <f>IF($D24="","",YEAR($D24))</f>
        <v/>
      </c>
      <c r="H24" s="6">
        <f>IF($D24="","",ROUNDUP(MONTH($D24)/3,0))</f>
        <v/>
      </c>
    </row>
    <row r="25">
      <c r="A25" s="9" t="n"/>
      <c r="B25" s="9" t="n"/>
      <c r="C25" s="10" t="n"/>
      <c r="D25" s="16" t="n"/>
      <c r="E25" s="9" t="n"/>
      <c r="F25" s="9">
        <f>IF($B25="","",IFERROR(VLOOKUP($B25,Agents!$A:$C,3,FALSE),"؟"))</f>
        <v/>
      </c>
      <c r="G25" s="9">
        <f>IF($D25="","",YEAR($D25))</f>
        <v/>
      </c>
      <c r="H25" s="9">
        <f>IF($D25="","",ROUNDUP(MONTH($D25)/3,0))</f>
        <v/>
      </c>
    </row>
    <row r="26">
      <c r="A26" s="6" t="n"/>
      <c r="B26" s="6" t="n"/>
      <c r="C26" s="8" t="n"/>
      <c r="D26" s="14" t="n"/>
      <c r="E26" s="6" t="n"/>
      <c r="F26" s="6">
        <f>IF($B26="","",IFERROR(VLOOKUP($B26,Agents!$A:$C,3,FALSE),"؟"))</f>
        <v/>
      </c>
      <c r="G26" s="6">
        <f>IF($D26="","",YEAR($D26))</f>
        <v/>
      </c>
      <c r="H26" s="6">
        <f>IF($D26="","",ROUNDUP(MONTH($D26)/3,0))</f>
        <v/>
      </c>
    </row>
    <row r="27">
      <c r="A27" s="9" t="n"/>
      <c r="B27" s="9" t="n"/>
      <c r="C27" s="10" t="n"/>
      <c r="D27" s="16" t="n"/>
      <c r="E27" s="9" t="n"/>
      <c r="F27" s="9">
        <f>IF($B27="","",IFERROR(VLOOKUP($B27,Agents!$A:$C,3,FALSE),"؟"))</f>
        <v/>
      </c>
      <c r="G27" s="9">
        <f>IF($D27="","",YEAR($D27))</f>
        <v/>
      </c>
      <c r="H27" s="9">
        <f>IF($D27="","",ROUNDUP(MONTH($D27)/3,0))</f>
        <v/>
      </c>
    </row>
    <row r="28">
      <c r="A28" s="6" t="n"/>
      <c r="B28" s="6" t="n"/>
      <c r="C28" s="8" t="n"/>
      <c r="D28" s="14" t="n"/>
      <c r="E28" s="6" t="n"/>
      <c r="F28" s="6">
        <f>IF($B28="","",IFERROR(VLOOKUP($B28,Agents!$A:$C,3,FALSE),"؟"))</f>
        <v/>
      </c>
      <c r="G28" s="6">
        <f>IF($D28="","",YEAR($D28))</f>
        <v/>
      </c>
      <c r="H28" s="6">
        <f>IF($D28="","",ROUNDUP(MONTH($D28)/3,0))</f>
        <v/>
      </c>
    </row>
    <row r="29">
      <c r="A29" s="9" t="n"/>
      <c r="B29" s="9" t="n"/>
      <c r="C29" s="10" t="n"/>
      <c r="D29" s="16" t="n"/>
      <c r="E29" s="9" t="n"/>
      <c r="F29" s="9">
        <f>IF($B29="","",IFERROR(VLOOKUP($B29,Agents!$A:$C,3,FALSE),"؟"))</f>
        <v/>
      </c>
      <c r="G29" s="9">
        <f>IF($D29="","",YEAR($D29))</f>
        <v/>
      </c>
      <c r="H29" s="9">
        <f>IF($D29="","",ROUNDUP(MONTH($D29)/3,0))</f>
        <v/>
      </c>
    </row>
    <row r="30">
      <c r="A30" s="6" t="n"/>
      <c r="B30" s="6" t="n"/>
      <c r="C30" s="8" t="n"/>
      <c r="D30" s="14" t="n"/>
      <c r="E30" s="6" t="n"/>
      <c r="F30" s="6">
        <f>IF($B30="","",IFERROR(VLOOKUP($B30,Agents!$A:$C,3,FALSE),"؟"))</f>
        <v/>
      </c>
      <c r="G30" s="6">
        <f>IF($D30="","",YEAR($D30))</f>
        <v/>
      </c>
      <c r="H30" s="6">
        <f>IF($D30="","",ROUNDUP(MONTH($D30)/3,0))</f>
        <v/>
      </c>
    </row>
    <row r="31">
      <c r="A31" s="9" t="n"/>
      <c r="B31" s="9" t="n"/>
      <c r="C31" s="10" t="n"/>
      <c r="D31" s="16" t="n"/>
      <c r="E31" s="9" t="n"/>
      <c r="F31" s="9">
        <f>IF($B31="","",IFERROR(VLOOKUP($B31,Agents!$A:$C,3,FALSE),"؟"))</f>
        <v/>
      </c>
      <c r="G31" s="9">
        <f>IF($D31="","",YEAR($D31))</f>
        <v/>
      </c>
      <c r="H31" s="9">
        <f>IF($D31="","",ROUNDUP(MONTH($D31)/3,0))</f>
        <v/>
      </c>
    </row>
    <row r="32">
      <c r="A32" s="6" t="n"/>
      <c r="B32" s="6" t="n"/>
      <c r="C32" s="8" t="n"/>
      <c r="D32" s="14" t="n"/>
      <c r="E32" s="6" t="n"/>
      <c r="F32" s="6">
        <f>IF($B32="","",IFERROR(VLOOKUP($B32,Agents!$A:$C,3,FALSE),"؟"))</f>
        <v/>
      </c>
      <c r="G32" s="6">
        <f>IF($D32="","",YEAR($D32))</f>
        <v/>
      </c>
      <c r="H32" s="6">
        <f>IF($D32="","",ROUNDUP(MONTH($D32)/3,0))</f>
        <v/>
      </c>
    </row>
    <row r="33">
      <c r="A33" s="9" t="n"/>
      <c r="B33" s="9" t="n"/>
      <c r="C33" s="10" t="n"/>
      <c r="D33" s="16" t="n"/>
      <c r="E33" s="9" t="n"/>
      <c r="F33" s="9">
        <f>IF($B33="","",IFERROR(VLOOKUP($B33,Agents!$A:$C,3,FALSE),"؟"))</f>
        <v/>
      </c>
      <c r="G33" s="9">
        <f>IF($D33="","",YEAR($D33))</f>
        <v/>
      </c>
      <c r="H33" s="9">
        <f>IF($D33="","",ROUNDUP(MONTH($D33)/3,0))</f>
        <v/>
      </c>
    </row>
    <row r="34">
      <c r="A34" s="6" t="n"/>
      <c r="B34" s="6" t="n"/>
      <c r="C34" s="8" t="n"/>
      <c r="D34" s="14" t="n"/>
      <c r="E34" s="6" t="n"/>
      <c r="F34" s="6">
        <f>IF($B34="","",IFERROR(VLOOKUP($B34,Agents!$A:$C,3,FALSE),"؟"))</f>
        <v/>
      </c>
      <c r="G34" s="6">
        <f>IF($D34="","",YEAR($D34))</f>
        <v/>
      </c>
      <c r="H34" s="6">
        <f>IF($D34="","",ROUNDUP(MONTH($D34)/3,0))</f>
        <v/>
      </c>
    </row>
    <row r="35">
      <c r="A35" s="9" t="n"/>
      <c r="B35" s="9" t="n"/>
      <c r="C35" s="10" t="n"/>
      <c r="D35" s="16" t="n"/>
      <c r="E35" s="9" t="n"/>
      <c r="F35" s="9">
        <f>IF($B35="","",IFERROR(VLOOKUP($B35,Agents!$A:$C,3,FALSE),"؟"))</f>
        <v/>
      </c>
      <c r="G35" s="9">
        <f>IF($D35="","",YEAR($D35))</f>
        <v/>
      </c>
      <c r="H35" s="9">
        <f>IF($D35="","",ROUNDUP(MONTH($D35)/3,0))</f>
        <v/>
      </c>
    </row>
    <row r="36">
      <c r="A36" s="6" t="n"/>
      <c r="B36" s="6" t="n"/>
      <c r="C36" s="8" t="n"/>
      <c r="D36" s="14" t="n"/>
      <c r="E36" s="6" t="n"/>
      <c r="F36" s="6">
        <f>IF($B36="","",IFERROR(VLOOKUP($B36,Agents!$A:$C,3,FALSE),"؟"))</f>
        <v/>
      </c>
      <c r="G36" s="6">
        <f>IF($D36="","",YEAR($D36))</f>
        <v/>
      </c>
      <c r="H36" s="6">
        <f>IF($D36="","",ROUNDUP(MONTH($D36)/3,0))</f>
        <v/>
      </c>
    </row>
    <row r="37">
      <c r="A37" s="9" t="n"/>
      <c r="B37" s="9" t="n"/>
      <c r="C37" s="10" t="n"/>
      <c r="D37" s="16" t="n"/>
      <c r="E37" s="9" t="n"/>
      <c r="F37" s="9">
        <f>IF($B37="","",IFERROR(VLOOKUP($B37,Agents!$A:$C,3,FALSE),"؟"))</f>
        <v/>
      </c>
      <c r="G37" s="9">
        <f>IF($D37="","",YEAR($D37))</f>
        <v/>
      </c>
      <c r="H37" s="9">
        <f>IF($D37="","",ROUNDUP(MONTH($D37)/3,0))</f>
        <v/>
      </c>
    </row>
    <row r="38">
      <c r="A38" s="6" t="n"/>
      <c r="B38" s="6" t="n"/>
      <c r="C38" s="8" t="n"/>
      <c r="D38" s="14" t="n"/>
      <c r="E38" s="6" t="n"/>
      <c r="F38" s="6">
        <f>IF($B38="","",IFERROR(VLOOKUP($B38,Agents!$A:$C,3,FALSE),"؟"))</f>
        <v/>
      </c>
      <c r="G38" s="6">
        <f>IF($D38="","",YEAR($D38))</f>
        <v/>
      </c>
      <c r="H38" s="6">
        <f>IF($D38="","",ROUNDUP(MONTH($D38)/3,0))</f>
        <v/>
      </c>
    </row>
    <row r="39">
      <c r="A39" s="9" t="n"/>
      <c r="B39" s="9" t="n"/>
      <c r="C39" s="10" t="n"/>
      <c r="D39" s="16" t="n"/>
      <c r="E39" s="9" t="n"/>
      <c r="F39" s="9">
        <f>IF($B39="","",IFERROR(VLOOKUP($B39,Agents!$A:$C,3,FALSE),"؟"))</f>
        <v/>
      </c>
      <c r="G39" s="9">
        <f>IF($D39="","",YEAR($D39))</f>
        <v/>
      </c>
      <c r="H39" s="9">
        <f>IF($D39="","",ROUNDUP(MONTH($D39)/3,0))</f>
        <v/>
      </c>
    </row>
    <row r="40">
      <c r="A40" s="6" t="n"/>
      <c r="B40" s="6" t="n"/>
      <c r="C40" s="8" t="n"/>
      <c r="D40" s="14" t="n"/>
      <c r="E40" s="6" t="n"/>
      <c r="F40" s="6">
        <f>IF($B40="","",IFERROR(VLOOKUP($B40,Agents!$A:$C,3,FALSE),"؟"))</f>
        <v/>
      </c>
      <c r="G40" s="6">
        <f>IF($D40="","",YEAR($D40))</f>
        <v/>
      </c>
      <c r="H40" s="6">
        <f>IF($D40="","",ROUNDUP(MONTH($D40)/3,0))</f>
        <v/>
      </c>
    </row>
    <row r="41">
      <c r="A41" s="9" t="n"/>
      <c r="B41" s="9" t="n"/>
      <c r="C41" s="10" t="n"/>
      <c r="D41" s="16" t="n"/>
      <c r="E41" s="9" t="n"/>
      <c r="F41" s="9">
        <f>IF($B41="","",IFERROR(VLOOKUP($B41,Agents!$A:$C,3,FALSE),"؟"))</f>
        <v/>
      </c>
      <c r="G41" s="9">
        <f>IF($D41="","",YEAR($D41))</f>
        <v/>
      </c>
      <c r="H41" s="9">
        <f>IF($D41="","",ROUNDUP(MONTH($D41)/3,0))</f>
        <v/>
      </c>
    </row>
    <row r="42">
      <c r="A42" s="6" t="n"/>
      <c r="B42" s="6" t="n"/>
      <c r="C42" s="8" t="n"/>
      <c r="D42" s="14" t="n"/>
      <c r="E42" s="6" t="n"/>
      <c r="F42" s="6">
        <f>IF($B42="","",IFERROR(VLOOKUP($B42,Agents!$A:$C,3,FALSE),"؟"))</f>
        <v/>
      </c>
      <c r="G42" s="6">
        <f>IF($D42="","",YEAR($D42))</f>
        <v/>
      </c>
      <c r="H42" s="6">
        <f>IF($D42="","",ROUNDUP(MONTH($D42)/3,0))</f>
        <v/>
      </c>
    </row>
    <row r="43">
      <c r="A43" s="9" t="n"/>
      <c r="B43" s="9" t="n"/>
      <c r="C43" s="10" t="n"/>
      <c r="D43" s="16" t="n"/>
      <c r="E43" s="9" t="n"/>
      <c r="F43" s="9">
        <f>IF($B43="","",IFERROR(VLOOKUP($B43,Agents!$A:$C,3,FALSE),"؟"))</f>
        <v/>
      </c>
      <c r="G43" s="9">
        <f>IF($D43="","",YEAR($D43))</f>
        <v/>
      </c>
      <c r="H43" s="9">
        <f>IF($D43="","",ROUNDUP(MONTH($D43)/3,0))</f>
        <v/>
      </c>
    </row>
    <row r="44">
      <c r="A44" s="6" t="n"/>
      <c r="B44" s="6" t="n"/>
      <c r="C44" s="8" t="n"/>
      <c r="D44" s="14" t="n"/>
      <c r="E44" s="6" t="n"/>
      <c r="F44" s="6">
        <f>IF($B44="","",IFERROR(VLOOKUP($B44,Agents!$A:$C,3,FALSE),"؟"))</f>
        <v/>
      </c>
      <c r="G44" s="6">
        <f>IF($D44="","",YEAR($D44))</f>
        <v/>
      </c>
      <c r="H44" s="6">
        <f>IF($D44="","",ROUNDUP(MONTH($D44)/3,0))</f>
        <v/>
      </c>
    </row>
    <row r="45">
      <c r="A45" s="9" t="n"/>
      <c r="B45" s="9" t="n"/>
      <c r="C45" s="10" t="n"/>
      <c r="D45" s="16" t="n"/>
      <c r="E45" s="9" t="n"/>
      <c r="F45" s="9">
        <f>IF($B45="","",IFERROR(VLOOKUP($B45,Agents!$A:$C,3,FALSE),"؟"))</f>
        <v/>
      </c>
      <c r="G45" s="9">
        <f>IF($D45="","",YEAR($D45))</f>
        <v/>
      </c>
      <c r="H45" s="9">
        <f>IF($D45="","",ROUNDUP(MONTH($D45)/3,0))</f>
        <v/>
      </c>
    </row>
    <row r="46">
      <c r="A46" s="6" t="n"/>
      <c r="B46" s="6" t="n"/>
      <c r="C46" s="8" t="n"/>
      <c r="D46" s="14" t="n"/>
      <c r="E46" s="6" t="n"/>
      <c r="F46" s="6">
        <f>IF($B46="","",IFERROR(VLOOKUP($B46,Agents!$A:$C,3,FALSE),"؟"))</f>
        <v/>
      </c>
      <c r="G46" s="6">
        <f>IF($D46="","",YEAR($D46))</f>
        <v/>
      </c>
      <c r="H46" s="6">
        <f>IF($D46="","",ROUNDUP(MONTH($D46)/3,0))</f>
        <v/>
      </c>
    </row>
    <row r="47">
      <c r="A47" s="9" t="n"/>
      <c r="B47" s="9" t="n"/>
      <c r="C47" s="10" t="n"/>
      <c r="D47" s="16" t="n"/>
      <c r="E47" s="9" t="n"/>
      <c r="F47" s="9">
        <f>IF($B47="","",IFERROR(VLOOKUP($B47,Agents!$A:$C,3,FALSE),"؟"))</f>
        <v/>
      </c>
      <c r="G47" s="9">
        <f>IF($D47="","",YEAR($D47))</f>
        <v/>
      </c>
      <c r="H47" s="9">
        <f>IF($D47="","",ROUNDUP(MONTH($D47)/3,0))</f>
        <v/>
      </c>
    </row>
    <row r="48">
      <c r="A48" s="6" t="n"/>
      <c r="B48" s="6" t="n"/>
      <c r="C48" s="8" t="n"/>
      <c r="D48" s="14" t="n"/>
      <c r="E48" s="6" t="n"/>
      <c r="F48" s="6">
        <f>IF($B48="","",IFERROR(VLOOKUP($B48,Agents!$A:$C,3,FALSE),"؟"))</f>
        <v/>
      </c>
      <c r="G48" s="6">
        <f>IF($D48="","",YEAR($D48))</f>
        <v/>
      </c>
      <c r="H48" s="6">
        <f>IF($D48="","",ROUNDUP(MONTH($D48)/3,0))</f>
        <v/>
      </c>
    </row>
    <row r="49">
      <c r="A49" s="9" t="n"/>
      <c r="B49" s="9" t="n"/>
      <c r="C49" s="10" t="n"/>
      <c r="D49" s="16" t="n"/>
      <c r="E49" s="9" t="n"/>
      <c r="F49" s="9">
        <f>IF($B49="","",IFERROR(VLOOKUP($B49,Agents!$A:$C,3,FALSE),"؟"))</f>
        <v/>
      </c>
      <c r="G49" s="9">
        <f>IF($D49="","",YEAR($D49))</f>
        <v/>
      </c>
      <c r="H49" s="9">
        <f>IF($D49="","",ROUNDUP(MONTH($D49)/3,0))</f>
        <v/>
      </c>
    </row>
    <row r="50">
      <c r="A50" s="6" t="n"/>
      <c r="B50" s="6" t="n"/>
      <c r="C50" s="8" t="n"/>
      <c r="D50" s="14" t="n"/>
      <c r="E50" s="6" t="n"/>
      <c r="F50" s="6">
        <f>IF($B50="","",IFERROR(VLOOKUP($B50,Agents!$A:$C,3,FALSE),"؟"))</f>
        <v/>
      </c>
      <c r="G50" s="6">
        <f>IF($D50="","",YEAR($D50))</f>
        <v/>
      </c>
      <c r="H50" s="6">
        <f>IF($D50="","",ROUNDUP(MONTH($D50)/3,0))</f>
        <v/>
      </c>
    </row>
    <row r="51">
      <c r="A51" s="9" t="n"/>
      <c r="B51" s="9" t="n"/>
      <c r="C51" s="10" t="n"/>
      <c r="D51" s="16" t="n"/>
      <c r="E51" s="9" t="n"/>
      <c r="F51" s="9">
        <f>IF($B51="","",IFERROR(VLOOKUP($B51,Agents!$A:$C,3,FALSE),"؟"))</f>
        <v/>
      </c>
      <c r="G51" s="9">
        <f>IF($D51="","",YEAR($D51))</f>
        <v/>
      </c>
      <c r="H51" s="9">
        <f>IF($D51="","",ROUNDUP(MONTH($D51)/3,0))</f>
        <v/>
      </c>
    </row>
    <row r="52">
      <c r="A52" s="6" t="n"/>
      <c r="B52" s="6" t="n"/>
      <c r="C52" s="8" t="n"/>
      <c r="D52" s="14" t="n"/>
      <c r="E52" s="6" t="n"/>
      <c r="F52" s="6">
        <f>IF($B52="","",IFERROR(VLOOKUP($B52,Agents!$A:$C,3,FALSE),"؟"))</f>
        <v/>
      </c>
      <c r="G52" s="6">
        <f>IF($D52="","",YEAR($D52))</f>
        <v/>
      </c>
      <c r="H52" s="6">
        <f>IF($D52="","",ROUNDUP(MONTH($D52)/3,0))</f>
        <v/>
      </c>
    </row>
    <row r="53">
      <c r="A53" s="9" t="n"/>
      <c r="B53" s="9" t="n"/>
      <c r="C53" s="10" t="n"/>
      <c r="D53" s="16" t="n"/>
      <c r="E53" s="9" t="n"/>
      <c r="F53" s="9">
        <f>IF($B53="","",IFERROR(VLOOKUP($B53,Agents!$A:$C,3,FALSE),"؟"))</f>
        <v/>
      </c>
      <c r="G53" s="9">
        <f>IF($D53="","",YEAR($D53))</f>
        <v/>
      </c>
      <c r="H53" s="9">
        <f>IF($D53="","",ROUNDUP(MONTH($D53)/3,0))</f>
        <v/>
      </c>
    </row>
    <row r="54">
      <c r="A54" s="6" t="n"/>
      <c r="B54" s="6" t="n"/>
      <c r="C54" s="8" t="n"/>
      <c r="D54" s="14" t="n"/>
      <c r="E54" s="6" t="n"/>
      <c r="F54" s="6">
        <f>IF($B54="","",IFERROR(VLOOKUP($B54,Agents!$A:$C,3,FALSE),"؟"))</f>
        <v/>
      </c>
      <c r="G54" s="6">
        <f>IF($D54="","",YEAR($D54))</f>
        <v/>
      </c>
      <c r="H54" s="6">
        <f>IF($D54="","",ROUNDUP(MONTH($D54)/3,0))</f>
        <v/>
      </c>
    </row>
    <row r="55">
      <c r="A55" s="9" t="n"/>
      <c r="B55" s="9" t="n"/>
      <c r="C55" s="10" t="n"/>
      <c r="D55" s="16" t="n"/>
      <c r="E55" s="9" t="n"/>
      <c r="F55" s="9">
        <f>IF($B55="","",IFERROR(VLOOKUP($B55,Agents!$A:$C,3,FALSE),"؟"))</f>
        <v/>
      </c>
      <c r="G55" s="9">
        <f>IF($D55="","",YEAR($D55))</f>
        <v/>
      </c>
      <c r="H55" s="9">
        <f>IF($D55="","",ROUNDUP(MONTH($D55)/3,0))</f>
        <v/>
      </c>
    </row>
    <row r="56">
      <c r="A56" s="6" t="n"/>
      <c r="B56" s="6" t="n"/>
      <c r="C56" s="8" t="n"/>
      <c r="D56" s="14" t="n"/>
      <c r="E56" s="6" t="n"/>
      <c r="F56" s="6">
        <f>IF($B56="","",IFERROR(VLOOKUP($B56,Agents!$A:$C,3,FALSE),"؟"))</f>
        <v/>
      </c>
      <c r="G56" s="6">
        <f>IF($D56="","",YEAR($D56))</f>
        <v/>
      </c>
      <c r="H56" s="6">
        <f>IF($D56="","",ROUNDUP(MONTH($D56)/3,0))</f>
        <v/>
      </c>
    </row>
    <row r="57">
      <c r="A57" s="9" t="n"/>
      <c r="B57" s="9" t="n"/>
      <c r="C57" s="10" t="n"/>
      <c r="D57" s="16" t="n"/>
      <c r="E57" s="9" t="n"/>
      <c r="F57" s="9">
        <f>IF($B57="","",IFERROR(VLOOKUP($B57,Agents!$A:$C,3,FALSE),"؟"))</f>
        <v/>
      </c>
      <c r="G57" s="9">
        <f>IF($D57="","",YEAR($D57))</f>
        <v/>
      </c>
      <c r="H57" s="9">
        <f>IF($D57="","",ROUNDUP(MONTH($D57)/3,0))</f>
        <v/>
      </c>
    </row>
    <row r="58">
      <c r="A58" s="6" t="n"/>
      <c r="B58" s="6" t="n"/>
      <c r="C58" s="8" t="n"/>
      <c r="D58" s="14" t="n"/>
      <c r="E58" s="6" t="n"/>
      <c r="F58" s="6">
        <f>IF($B58="","",IFERROR(VLOOKUP($B58,Agents!$A:$C,3,FALSE),"؟"))</f>
        <v/>
      </c>
      <c r="G58" s="6">
        <f>IF($D58="","",YEAR($D58))</f>
        <v/>
      </c>
      <c r="H58" s="6">
        <f>IF($D58="","",ROUNDUP(MONTH($D58)/3,0))</f>
        <v/>
      </c>
    </row>
    <row r="59">
      <c r="A59" s="9" t="n"/>
      <c r="B59" s="9" t="n"/>
      <c r="C59" s="10" t="n"/>
      <c r="D59" s="16" t="n"/>
      <c r="E59" s="9" t="n"/>
      <c r="F59" s="9">
        <f>IF($B59="","",IFERROR(VLOOKUP($B59,Agents!$A:$C,3,FALSE),"؟"))</f>
        <v/>
      </c>
      <c r="G59" s="9">
        <f>IF($D59="","",YEAR($D59))</f>
        <v/>
      </c>
      <c r="H59" s="9">
        <f>IF($D59="","",ROUNDUP(MONTH($D59)/3,0))</f>
        <v/>
      </c>
    </row>
    <row r="60">
      <c r="A60" s="6" t="n"/>
      <c r="B60" s="6" t="n"/>
      <c r="C60" s="8" t="n"/>
      <c r="D60" s="14" t="n"/>
      <c r="E60" s="6" t="n"/>
      <c r="F60" s="6">
        <f>IF($B60="","",IFERROR(VLOOKUP($B60,Agents!$A:$C,3,FALSE),"؟"))</f>
        <v/>
      </c>
      <c r="G60" s="6">
        <f>IF($D60="","",YEAR($D60))</f>
        <v/>
      </c>
      <c r="H60" s="6">
        <f>IF($D60="","",ROUNDUP(MONTH($D60)/3,0))</f>
        <v/>
      </c>
    </row>
    <row r="61">
      <c r="A61" s="9" t="n"/>
      <c r="B61" s="9" t="n"/>
      <c r="C61" s="10" t="n"/>
      <c r="D61" s="16" t="n"/>
      <c r="E61" s="9" t="n"/>
      <c r="F61" s="9">
        <f>IF($B61="","",IFERROR(VLOOKUP($B61,Agents!$A:$C,3,FALSE),"؟"))</f>
        <v/>
      </c>
      <c r="G61" s="9">
        <f>IF($D61="","",YEAR($D61))</f>
        <v/>
      </c>
      <c r="H61" s="9">
        <f>IF($D61="","",ROUNDUP(MONTH($D61)/3,0))</f>
        <v/>
      </c>
    </row>
    <row r="62">
      <c r="A62" s="6" t="n"/>
      <c r="B62" s="6" t="n"/>
      <c r="C62" s="8" t="n"/>
      <c r="D62" s="14" t="n"/>
      <c r="E62" s="6" t="n"/>
      <c r="F62" s="6">
        <f>IF($B62="","",IFERROR(VLOOKUP($B62,Agents!$A:$C,3,FALSE),"؟"))</f>
        <v/>
      </c>
      <c r="G62" s="6">
        <f>IF($D62="","",YEAR($D62))</f>
        <v/>
      </c>
      <c r="H62" s="6">
        <f>IF($D62="","",ROUNDUP(MONTH($D62)/3,0))</f>
        <v/>
      </c>
    </row>
    <row r="63">
      <c r="A63" s="9" t="n"/>
      <c r="B63" s="9" t="n"/>
      <c r="C63" s="10" t="n"/>
      <c r="D63" s="16" t="n"/>
      <c r="E63" s="9" t="n"/>
      <c r="F63" s="9">
        <f>IF($B63="","",IFERROR(VLOOKUP($B63,Agents!$A:$C,3,FALSE),"؟"))</f>
        <v/>
      </c>
      <c r="G63" s="9">
        <f>IF($D63="","",YEAR($D63))</f>
        <v/>
      </c>
      <c r="H63" s="9">
        <f>IF($D63="","",ROUNDUP(MONTH($D63)/3,0))</f>
        <v/>
      </c>
    </row>
    <row r="64">
      <c r="A64" s="6" t="n"/>
      <c r="B64" s="6" t="n"/>
      <c r="C64" s="8" t="n"/>
      <c r="D64" s="14" t="n"/>
      <c r="E64" s="6" t="n"/>
      <c r="F64" s="6">
        <f>IF($B64="","",IFERROR(VLOOKUP($B64,Agents!$A:$C,3,FALSE),"؟"))</f>
        <v/>
      </c>
      <c r="G64" s="6">
        <f>IF($D64="","",YEAR($D64))</f>
        <v/>
      </c>
      <c r="H64" s="6">
        <f>IF($D64="","",ROUNDUP(MONTH($D64)/3,0))</f>
        <v/>
      </c>
    </row>
    <row r="65">
      <c r="A65" s="9" t="n"/>
      <c r="B65" s="9" t="n"/>
      <c r="C65" s="10" t="n"/>
      <c r="D65" s="16" t="n"/>
      <c r="E65" s="9" t="n"/>
      <c r="F65" s="9">
        <f>IF($B65="","",IFERROR(VLOOKUP($B65,Agents!$A:$C,3,FALSE),"؟"))</f>
        <v/>
      </c>
      <c r="G65" s="9">
        <f>IF($D65="","",YEAR($D65))</f>
        <v/>
      </c>
      <c r="H65" s="9">
        <f>IF($D65="","",ROUNDUP(MONTH($D65)/3,0))</f>
        <v/>
      </c>
    </row>
    <row r="66">
      <c r="A66" s="6" t="n"/>
      <c r="B66" s="6" t="n"/>
      <c r="C66" s="8" t="n"/>
      <c r="D66" s="14" t="n"/>
      <c r="E66" s="6" t="n"/>
      <c r="F66" s="6">
        <f>IF($B66="","",IFERROR(VLOOKUP($B66,Agents!$A:$C,3,FALSE),"؟"))</f>
        <v/>
      </c>
      <c r="G66" s="6">
        <f>IF($D66="","",YEAR($D66))</f>
        <v/>
      </c>
      <c r="H66" s="6">
        <f>IF($D66="","",ROUNDUP(MONTH($D66)/3,0))</f>
        <v/>
      </c>
    </row>
    <row r="67">
      <c r="A67" s="9" t="n"/>
      <c r="B67" s="9" t="n"/>
      <c r="C67" s="10" t="n"/>
      <c r="D67" s="16" t="n"/>
      <c r="E67" s="9" t="n"/>
      <c r="F67" s="9">
        <f>IF($B67="","",IFERROR(VLOOKUP($B67,Agents!$A:$C,3,FALSE),"؟"))</f>
        <v/>
      </c>
      <c r="G67" s="9">
        <f>IF($D67="","",YEAR($D67))</f>
        <v/>
      </c>
      <c r="H67" s="9">
        <f>IF($D67="","",ROUNDUP(MONTH($D67)/3,0))</f>
        <v/>
      </c>
    </row>
    <row r="68">
      <c r="A68" s="6" t="n"/>
      <c r="B68" s="6" t="n"/>
      <c r="C68" s="8" t="n"/>
      <c r="D68" s="14" t="n"/>
      <c r="E68" s="6" t="n"/>
      <c r="F68" s="6">
        <f>IF($B68="","",IFERROR(VLOOKUP($B68,Agents!$A:$C,3,FALSE),"؟"))</f>
        <v/>
      </c>
      <c r="G68" s="6">
        <f>IF($D68="","",YEAR($D68))</f>
        <v/>
      </c>
      <c r="H68" s="6">
        <f>IF($D68="","",ROUNDUP(MONTH($D68)/3,0))</f>
        <v/>
      </c>
    </row>
    <row r="69">
      <c r="A69" s="9" t="n"/>
      <c r="B69" s="9" t="n"/>
      <c r="C69" s="10" t="n"/>
      <c r="D69" s="16" t="n"/>
      <c r="E69" s="9" t="n"/>
      <c r="F69" s="9">
        <f>IF($B69="","",IFERROR(VLOOKUP($B69,Agents!$A:$C,3,FALSE),"؟"))</f>
        <v/>
      </c>
      <c r="G69" s="9">
        <f>IF($D69="","",YEAR($D69))</f>
        <v/>
      </c>
      <c r="H69" s="9">
        <f>IF($D69="","",ROUNDUP(MONTH($D69)/3,0))</f>
        <v/>
      </c>
    </row>
    <row r="70">
      <c r="A70" s="6" t="n"/>
      <c r="B70" s="6" t="n"/>
      <c r="C70" s="8" t="n"/>
      <c r="D70" s="14" t="n"/>
      <c r="E70" s="6" t="n"/>
      <c r="F70" s="6">
        <f>IF($B70="","",IFERROR(VLOOKUP($B70,Agents!$A:$C,3,FALSE),"؟"))</f>
        <v/>
      </c>
      <c r="G70" s="6">
        <f>IF($D70="","",YEAR($D70))</f>
        <v/>
      </c>
      <c r="H70" s="6">
        <f>IF($D70="","",ROUNDUP(MONTH($D70)/3,0))</f>
        <v/>
      </c>
    </row>
    <row r="71">
      <c r="A71" s="9" t="n"/>
      <c r="B71" s="9" t="n"/>
      <c r="C71" s="10" t="n"/>
      <c r="D71" s="16" t="n"/>
      <c r="E71" s="9" t="n"/>
      <c r="F71" s="9">
        <f>IF($B71="","",IFERROR(VLOOKUP($B71,Agents!$A:$C,3,FALSE),"؟"))</f>
        <v/>
      </c>
      <c r="G71" s="9">
        <f>IF($D71="","",YEAR($D71))</f>
        <v/>
      </c>
      <c r="H71" s="9">
        <f>IF($D71="","",ROUNDUP(MONTH($D71)/3,0))</f>
        <v/>
      </c>
    </row>
    <row r="72">
      <c r="A72" s="6" t="n"/>
      <c r="B72" s="6" t="n"/>
      <c r="C72" s="8" t="n"/>
      <c r="D72" s="14" t="n"/>
      <c r="E72" s="6" t="n"/>
      <c r="F72" s="6">
        <f>IF($B72="","",IFERROR(VLOOKUP($B72,Agents!$A:$C,3,FALSE),"؟"))</f>
        <v/>
      </c>
      <c r="G72" s="6">
        <f>IF($D72="","",YEAR($D72))</f>
        <v/>
      </c>
      <c r="H72" s="6">
        <f>IF($D72="","",ROUNDUP(MONTH($D72)/3,0))</f>
        <v/>
      </c>
    </row>
    <row r="73">
      <c r="A73" s="9" t="n"/>
      <c r="B73" s="9" t="n"/>
      <c r="C73" s="10" t="n"/>
      <c r="D73" s="16" t="n"/>
      <c r="E73" s="9" t="n"/>
      <c r="F73" s="9">
        <f>IF($B73="","",IFERROR(VLOOKUP($B73,Agents!$A:$C,3,FALSE),"؟"))</f>
        <v/>
      </c>
      <c r="G73" s="9">
        <f>IF($D73="","",YEAR($D73))</f>
        <v/>
      </c>
      <c r="H73" s="9">
        <f>IF($D73="","",ROUNDUP(MONTH($D73)/3,0))</f>
        <v/>
      </c>
    </row>
    <row r="74">
      <c r="A74" s="6" t="n"/>
      <c r="B74" s="6" t="n"/>
      <c r="C74" s="8" t="n"/>
      <c r="D74" s="14" t="n"/>
      <c r="E74" s="6" t="n"/>
      <c r="F74" s="6">
        <f>IF($B74="","",IFERROR(VLOOKUP($B74,Agents!$A:$C,3,FALSE),"؟"))</f>
        <v/>
      </c>
      <c r="G74" s="6">
        <f>IF($D74="","",YEAR($D74))</f>
        <v/>
      </c>
      <c r="H74" s="6">
        <f>IF($D74="","",ROUNDUP(MONTH($D74)/3,0))</f>
        <v/>
      </c>
    </row>
    <row r="75">
      <c r="A75" s="9" t="n"/>
      <c r="B75" s="9" t="n"/>
      <c r="C75" s="10" t="n"/>
      <c r="D75" s="16" t="n"/>
      <c r="E75" s="9" t="n"/>
      <c r="F75" s="9">
        <f>IF($B75="","",IFERROR(VLOOKUP($B75,Agents!$A:$C,3,FALSE),"؟"))</f>
        <v/>
      </c>
      <c r="G75" s="9">
        <f>IF($D75="","",YEAR($D75))</f>
        <v/>
      </c>
      <c r="H75" s="9">
        <f>IF($D75="","",ROUNDUP(MONTH($D75)/3,0))</f>
        <v/>
      </c>
    </row>
    <row r="76">
      <c r="A76" s="6" t="n"/>
      <c r="B76" s="6" t="n"/>
      <c r="C76" s="8" t="n"/>
      <c r="D76" s="14" t="n"/>
      <c r="E76" s="6" t="n"/>
      <c r="F76" s="6">
        <f>IF($B76="","",IFERROR(VLOOKUP($B76,Agents!$A:$C,3,FALSE),"؟"))</f>
        <v/>
      </c>
      <c r="G76" s="6">
        <f>IF($D76="","",YEAR($D76))</f>
        <v/>
      </c>
      <c r="H76" s="6">
        <f>IF($D76="","",ROUNDUP(MONTH($D76)/3,0))</f>
        <v/>
      </c>
    </row>
    <row r="77">
      <c r="A77" s="9" t="n"/>
      <c r="B77" s="9" t="n"/>
      <c r="C77" s="10" t="n"/>
      <c r="D77" s="16" t="n"/>
      <c r="E77" s="9" t="n"/>
      <c r="F77" s="9">
        <f>IF($B77="","",IFERROR(VLOOKUP($B77,Agents!$A:$C,3,FALSE),"؟"))</f>
        <v/>
      </c>
      <c r="G77" s="9">
        <f>IF($D77="","",YEAR($D77))</f>
        <v/>
      </c>
      <c r="H77" s="9">
        <f>IF($D77="","",ROUNDUP(MONTH($D77)/3,0))</f>
        <v/>
      </c>
    </row>
    <row r="78">
      <c r="A78" s="6" t="n"/>
      <c r="B78" s="6" t="n"/>
      <c r="C78" s="8" t="n"/>
      <c r="D78" s="14" t="n"/>
      <c r="E78" s="6" t="n"/>
      <c r="F78" s="6">
        <f>IF($B78="","",IFERROR(VLOOKUP($B78,Agents!$A:$C,3,FALSE),"؟"))</f>
        <v/>
      </c>
      <c r="G78" s="6">
        <f>IF($D78="","",YEAR($D78))</f>
        <v/>
      </c>
      <c r="H78" s="6">
        <f>IF($D78="","",ROUNDUP(MONTH($D78)/3,0))</f>
        <v/>
      </c>
    </row>
    <row r="79">
      <c r="A79" s="9" t="n"/>
      <c r="B79" s="9" t="n"/>
      <c r="C79" s="10" t="n"/>
      <c r="D79" s="16" t="n"/>
      <c r="E79" s="9" t="n"/>
      <c r="F79" s="9">
        <f>IF($B79="","",IFERROR(VLOOKUP($B79,Agents!$A:$C,3,FALSE),"؟"))</f>
        <v/>
      </c>
      <c r="G79" s="9">
        <f>IF($D79="","",YEAR($D79))</f>
        <v/>
      </c>
      <c r="H79" s="9">
        <f>IF($D79="","",ROUNDUP(MONTH($D79)/3,0))</f>
        <v/>
      </c>
    </row>
    <row r="80">
      <c r="A80" s="6" t="n"/>
      <c r="B80" s="6" t="n"/>
      <c r="C80" s="8" t="n"/>
      <c r="D80" s="14" t="n"/>
      <c r="E80" s="6" t="n"/>
      <c r="F80" s="6">
        <f>IF($B80="","",IFERROR(VLOOKUP($B80,Agents!$A:$C,3,FALSE),"؟"))</f>
        <v/>
      </c>
      <c r="G80" s="6">
        <f>IF($D80="","",YEAR($D80))</f>
        <v/>
      </c>
      <c r="H80" s="6">
        <f>IF($D80="","",ROUNDUP(MONTH($D80)/3,0))</f>
        <v/>
      </c>
    </row>
    <row r="81">
      <c r="A81" s="9" t="n"/>
      <c r="B81" s="9" t="n"/>
      <c r="C81" s="10" t="n"/>
      <c r="D81" s="16" t="n"/>
      <c r="E81" s="9" t="n"/>
      <c r="F81" s="9">
        <f>IF($B81="","",IFERROR(VLOOKUP($B81,Agents!$A:$C,3,FALSE),"؟"))</f>
        <v/>
      </c>
      <c r="G81" s="9">
        <f>IF($D81="","",YEAR($D81))</f>
        <v/>
      </c>
      <c r="H81" s="9">
        <f>IF($D81="","",ROUNDUP(MONTH($D81)/3,0))</f>
        <v/>
      </c>
    </row>
    <row r="82">
      <c r="A82" s="6" t="n"/>
      <c r="B82" s="6" t="n"/>
      <c r="C82" s="8" t="n"/>
      <c r="D82" s="14" t="n"/>
      <c r="E82" s="6" t="n"/>
      <c r="F82" s="6">
        <f>IF($B82="","",IFERROR(VLOOKUP($B82,Agents!$A:$C,3,FALSE),"؟"))</f>
        <v/>
      </c>
      <c r="G82" s="6">
        <f>IF($D82="","",YEAR($D82))</f>
        <v/>
      </c>
      <c r="H82" s="6">
        <f>IF($D82="","",ROUNDUP(MONTH($D82)/3,0))</f>
        <v/>
      </c>
    </row>
    <row r="83">
      <c r="A83" s="9" t="n"/>
      <c r="B83" s="9" t="n"/>
      <c r="C83" s="10" t="n"/>
      <c r="D83" s="16" t="n"/>
      <c r="E83" s="9" t="n"/>
      <c r="F83" s="9">
        <f>IF($B83="","",IFERROR(VLOOKUP($B83,Agents!$A:$C,3,FALSE),"؟"))</f>
        <v/>
      </c>
      <c r="G83" s="9">
        <f>IF($D83="","",YEAR($D83))</f>
        <v/>
      </c>
      <c r="H83" s="9">
        <f>IF($D83="","",ROUNDUP(MONTH($D83)/3,0))</f>
        <v/>
      </c>
    </row>
    <row r="84">
      <c r="A84" s="6" t="n"/>
      <c r="B84" s="6" t="n"/>
      <c r="C84" s="8" t="n"/>
      <c r="D84" s="14" t="n"/>
      <c r="E84" s="6" t="n"/>
      <c r="F84" s="6">
        <f>IF($B84="","",IFERROR(VLOOKUP($B84,Agents!$A:$C,3,FALSE),"؟"))</f>
        <v/>
      </c>
      <c r="G84" s="6">
        <f>IF($D84="","",YEAR($D84))</f>
        <v/>
      </c>
      <c r="H84" s="6">
        <f>IF($D84="","",ROUNDUP(MONTH($D84)/3,0))</f>
        <v/>
      </c>
    </row>
    <row r="85">
      <c r="A85" s="9" t="n"/>
      <c r="B85" s="9" t="n"/>
      <c r="C85" s="10" t="n"/>
      <c r="D85" s="16" t="n"/>
      <c r="E85" s="9" t="n"/>
      <c r="F85" s="9">
        <f>IF($B85="","",IFERROR(VLOOKUP($B85,Agents!$A:$C,3,FALSE),"؟"))</f>
        <v/>
      </c>
      <c r="G85" s="9">
        <f>IF($D85="","",YEAR($D85))</f>
        <v/>
      </c>
      <c r="H85" s="9">
        <f>IF($D85="","",ROUNDUP(MONTH($D85)/3,0))</f>
        <v/>
      </c>
    </row>
    <row r="86">
      <c r="A86" s="6" t="n"/>
      <c r="B86" s="6" t="n"/>
      <c r="C86" s="8" t="n"/>
      <c r="D86" s="14" t="n"/>
      <c r="E86" s="6" t="n"/>
      <c r="F86" s="6">
        <f>IF($B86="","",IFERROR(VLOOKUP($B86,Agents!$A:$C,3,FALSE),"؟"))</f>
        <v/>
      </c>
      <c r="G86" s="6">
        <f>IF($D86="","",YEAR($D86))</f>
        <v/>
      </c>
      <c r="H86" s="6">
        <f>IF($D86="","",ROUNDUP(MONTH($D86)/3,0))</f>
        <v/>
      </c>
    </row>
    <row r="87">
      <c r="A87" s="9" t="n"/>
      <c r="B87" s="9" t="n"/>
      <c r="C87" s="10" t="n"/>
      <c r="D87" s="16" t="n"/>
      <c r="E87" s="9" t="n"/>
      <c r="F87" s="9">
        <f>IF($B87="","",IFERROR(VLOOKUP($B87,Agents!$A:$C,3,FALSE),"؟"))</f>
        <v/>
      </c>
      <c r="G87" s="9">
        <f>IF($D87="","",YEAR($D87))</f>
        <v/>
      </c>
      <c r="H87" s="9">
        <f>IF($D87="","",ROUNDUP(MONTH($D87)/3,0))</f>
        <v/>
      </c>
    </row>
    <row r="88">
      <c r="A88" s="6" t="n"/>
      <c r="B88" s="6" t="n"/>
      <c r="C88" s="8" t="n"/>
      <c r="D88" s="14" t="n"/>
      <c r="E88" s="6" t="n"/>
      <c r="F88" s="6">
        <f>IF($B88="","",IFERROR(VLOOKUP($B88,Agents!$A:$C,3,FALSE),"؟"))</f>
        <v/>
      </c>
      <c r="G88" s="6">
        <f>IF($D88="","",YEAR($D88))</f>
        <v/>
      </c>
      <c r="H88" s="6">
        <f>IF($D88="","",ROUNDUP(MONTH($D88)/3,0))</f>
        <v/>
      </c>
    </row>
    <row r="89">
      <c r="A89" s="9" t="n"/>
      <c r="B89" s="9" t="n"/>
      <c r="C89" s="10" t="n"/>
      <c r="D89" s="16" t="n"/>
      <c r="E89" s="9" t="n"/>
      <c r="F89" s="9">
        <f>IF($B89="","",IFERROR(VLOOKUP($B89,Agents!$A:$C,3,FALSE),"؟"))</f>
        <v/>
      </c>
      <c r="G89" s="9">
        <f>IF($D89="","",YEAR($D89))</f>
        <v/>
      </c>
      <c r="H89" s="9">
        <f>IF($D89="","",ROUNDUP(MONTH($D89)/3,0))</f>
        <v/>
      </c>
    </row>
    <row r="90">
      <c r="A90" s="6" t="n"/>
      <c r="B90" s="6" t="n"/>
      <c r="C90" s="8" t="n"/>
      <c r="D90" s="14" t="n"/>
      <c r="E90" s="6" t="n"/>
      <c r="F90" s="6">
        <f>IF($B90="","",IFERROR(VLOOKUP($B90,Agents!$A:$C,3,FALSE),"؟"))</f>
        <v/>
      </c>
      <c r="G90" s="6">
        <f>IF($D90="","",YEAR($D90))</f>
        <v/>
      </c>
      <c r="H90" s="6">
        <f>IF($D90="","",ROUNDUP(MONTH($D90)/3,0))</f>
        <v/>
      </c>
    </row>
    <row r="91">
      <c r="A91" s="9" t="n"/>
      <c r="B91" s="9" t="n"/>
      <c r="C91" s="10" t="n"/>
      <c r="D91" s="16" t="n"/>
      <c r="E91" s="9" t="n"/>
      <c r="F91" s="9">
        <f>IF($B91="","",IFERROR(VLOOKUP($B91,Agents!$A:$C,3,FALSE),"؟"))</f>
        <v/>
      </c>
      <c r="G91" s="9">
        <f>IF($D91="","",YEAR($D91))</f>
        <v/>
      </c>
      <c r="H91" s="9">
        <f>IF($D91="","",ROUNDUP(MONTH($D91)/3,0))</f>
        <v/>
      </c>
    </row>
    <row r="92">
      <c r="A92" s="6" t="n"/>
      <c r="B92" s="6" t="n"/>
      <c r="C92" s="8" t="n"/>
      <c r="D92" s="14" t="n"/>
      <c r="E92" s="6" t="n"/>
      <c r="F92" s="6">
        <f>IF($B92="","",IFERROR(VLOOKUP($B92,Agents!$A:$C,3,FALSE),"؟"))</f>
        <v/>
      </c>
      <c r="G92" s="6">
        <f>IF($D92="","",YEAR($D92))</f>
        <v/>
      </c>
      <c r="H92" s="6">
        <f>IF($D92="","",ROUNDUP(MONTH($D92)/3,0))</f>
        <v/>
      </c>
    </row>
    <row r="93">
      <c r="A93" s="9" t="n"/>
      <c r="B93" s="9" t="n"/>
      <c r="C93" s="10" t="n"/>
      <c r="D93" s="16" t="n"/>
      <c r="E93" s="9" t="n"/>
      <c r="F93" s="9">
        <f>IF($B93="","",IFERROR(VLOOKUP($B93,Agents!$A:$C,3,FALSE),"؟"))</f>
        <v/>
      </c>
      <c r="G93" s="9">
        <f>IF($D93="","",YEAR($D93))</f>
        <v/>
      </c>
      <c r="H93" s="9">
        <f>IF($D93="","",ROUNDUP(MONTH($D93)/3,0))</f>
        <v/>
      </c>
    </row>
    <row r="94">
      <c r="A94" s="6" t="n"/>
      <c r="B94" s="6" t="n"/>
      <c r="C94" s="8" t="n"/>
      <c r="D94" s="14" t="n"/>
      <c r="E94" s="6" t="n"/>
      <c r="F94" s="6">
        <f>IF($B94="","",IFERROR(VLOOKUP($B94,Agents!$A:$C,3,FALSE),"؟"))</f>
        <v/>
      </c>
      <c r="G94" s="6">
        <f>IF($D94="","",YEAR($D94))</f>
        <v/>
      </c>
      <c r="H94" s="6">
        <f>IF($D94="","",ROUNDUP(MONTH($D94)/3,0))</f>
        <v/>
      </c>
    </row>
    <row r="95">
      <c r="A95" s="9" t="n"/>
      <c r="B95" s="9" t="n"/>
      <c r="C95" s="10" t="n"/>
      <c r="D95" s="16" t="n"/>
      <c r="E95" s="9" t="n"/>
      <c r="F95" s="9">
        <f>IF($B95="","",IFERROR(VLOOKUP($B95,Agents!$A:$C,3,FALSE),"؟"))</f>
        <v/>
      </c>
      <c r="G95" s="9">
        <f>IF($D95="","",YEAR($D95))</f>
        <v/>
      </c>
      <c r="H95" s="9">
        <f>IF($D95="","",ROUNDUP(MONTH($D95)/3,0))</f>
        <v/>
      </c>
    </row>
    <row r="96">
      <c r="A96" s="6" t="n"/>
      <c r="B96" s="6" t="n"/>
      <c r="C96" s="8" t="n"/>
      <c r="D96" s="14" t="n"/>
      <c r="E96" s="6" t="n"/>
      <c r="F96" s="6">
        <f>IF($B96="","",IFERROR(VLOOKUP($B96,Agents!$A:$C,3,FALSE),"؟"))</f>
        <v/>
      </c>
      <c r="G96" s="6">
        <f>IF($D96="","",YEAR($D96))</f>
        <v/>
      </c>
      <c r="H96" s="6">
        <f>IF($D96="","",ROUNDUP(MONTH($D96)/3,0))</f>
        <v/>
      </c>
    </row>
    <row r="97">
      <c r="A97" s="9" t="n"/>
      <c r="B97" s="9" t="n"/>
      <c r="C97" s="10" t="n"/>
      <c r="D97" s="16" t="n"/>
      <c r="E97" s="9" t="n"/>
      <c r="F97" s="9">
        <f>IF($B97="","",IFERROR(VLOOKUP($B97,Agents!$A:$C,3,FALSE),"؟"))</f>
        <v/>
      </c>
      <c r="G97" s="9">
        <f>IF($D97="","",YEAR($D97))</f>
        <v/>
      </c>
      <c r="H97" s="9">
        <f>IF($D97="","",ROUNDUP(MONTH($D97)/3,0))</f>
        <v/>
      </c>
    </row>
    <row r="98">
      <c r="A98" s="6" t="n"/>
      <c r="B98" s="6" t="n"/>
      <c r="C98" s="8" t="n"/>
      <c r="D98" s="14" t="n"/>
      <c r="E98" s="6" t="n"/>
      <c r="F98" s="6">
        <f>IF($B98="","",IFERROR(VLOOKUP($B98,Agents!$A:$C,3,FALSE),"؟"))</f>
        <v/>
      </c>
      <c r="G98" s="6">
        <f>IF($D98="","",YEAR($D98))</f>
        <v/>
      </c>
      <c r="H98" s="6">
        <f>IF($D98="","",ROUNDUP(MONTH($D98)/3,0))</f>
        <v/>
      </c>
    </row>
    <row r="99">
      <c r="A99" s="9" t="n"/>
      <c r="B99" s="9" t="n"/>
      <c r="C99" s="10" t="n"/>
      <c r="D99" s="16" t="n"/>
      <c r="E99" s="9" t="n"/>
      <c r="F99" s="9">
        <f>IF($B99="","",IFERROR(VLOOKUP($B99,Agents!$A:$C,3,FALSE),"؟"))</f>
        <v/>
      </c>
      <c r="G99" s="9">
        <f>IF($D99="","",YEAR($D99))</f>
        <v/>
      </c>
      <c r="H99" s="9">
        <f>IF($D99="","",ROUNDUP(MONTH($D99)/3,0))</f>
        <v/>
      </c>
    </row>
    <row r="100">
      <c r="A100" s="6" t="n"/>
      <c r="B100" s="6" t="n"/>
      <c r="C100" s="8" t="n"/>
      <c r="D100" s="14" t="n"/>
      <c r="E100" s="6" t="n"/>
      <c r="F100" s="6">
        <f>IF($B100="","",IFERROR(VLOOKUP($B100,Agents!$A:$C,3,FALSE),"؟"))</f>
        <v/>
      </c>
      <c r="G100" s="6">
        <f>IF($D100="","",YEAR($D100))</f>
        <v/>
      </c>
      <c r="H100" s="6">
        <f>IF($D100="","",ROUNDUP(MONTH($D100)/3,0))</f>
        <v/>
      </c>
    </row>
    <row r="101">
      <c r="A101" s="9" t="n"/>
      <c r="B101" s="9" t="n"/>
      <c r="C101" s="10" t="n"/>
      <c r="D101" s="16" t="n"/>
      <c r="E101" s="9" t="n"/>
      <c r="F101" s="9">
        <f>IF($B101="","",IFERROR(VLOOKUP($B101,Agents!$A:$C,3,FALSE),"؟"))</f>
        <v/>
      </c>
      <c r="G101" s="9">
        <f>IF($D101="","",YEAR($D101))</f>
        <v/>
      </c>
      <c r="H101" s="9">
        <f>IF($D101="","",ROUNDUP(MONTH($D101)/3,0))</f>
        <v/>
      </c>
    </row>
    <row r="102">
      <c r="A102" s="6" t="n"/>
      <c r="B102" s="6" t="n"/>
      <c r="C102" s="8" t="n"/>
      <c r="D102" s="14" t="n"/>
      <c r="E102" s="6" t="n"/>
      <c r="F102" s="6">
        <f>IF($B102="","",IFERROR(VLOOKUP($B102,Agents!$A:$C,3,FALSE),"؟"))</f>
        <v/>
      </c>
      <c r="G102" s="6">
        <f>IF($D102="","",YEAR($D102))</f>
        <v/>
      </c>
      <c r="H102" s="6">
        <f>IF($D102="","",ROUNDUP(MONTH($D102)/3,0))</f>
        <v/>
      </c>
    </row>
    <row r="103">
      <c r="A103" s="9" t="n"/>
      <c r="B103" s="9" t="n"/>
      <c r="C103" s="10" t="n"/>
      <c r="D103" s="16" t="n"/>
      <c r="E103" s="9" t="n"/>
      <c r="F103" s="9">
        <f>IF($B103="","",IFERROR(VLOOKUP($B103,Agents!$A:$C,3,FALSE),"؟"))</f>
        <v/>
      </c>
      <c r="G103" s="9">
        <f>IF($D103="","",YEAR($D103))</f>
        <v/>
      </c>
      <c r="H103" s="9">
        <f>IF($D103="","",ROUNDUP(MONTH($D103)/3,0))</f>
        <v/>
      </c>
    </row>
    <row r="104">
      <c r="A104" s="6" t="n"/>
      <c r="B104" s="6" t="n"/>
      <c r="C104" s="8" t="n"/>
      <c r="D104" s="14" t="n"/>
      <c r="E104" s="6" t="n"/>
      <c r="F104" s="6">
        <f>IF($B104="","",IFERROR(VLOOKUP($B104,Agents!$A:$C,3,FALSE),"؟"))</f>
        <v/>
      </c>
      <c r="G104" s="6">
        <f>IF($D104="","",YEAR($D104))</f>
        <v/>
      </c>
      <c r="H104" s="6">
        <f>IF($D104="","",ROUNDUP(MONTH($D104)/3,0))</f>
        <v/>
      </c>
    </row>
    <row r="105">
      <c r="A105" s="9" t="n"/>
      <c r="B105" s="9" t="n"/>
      <c r="C105" s="10" t="n"/>
      <c r="D105" s="16" t="n"/>
      <c r="E105" s="9" t="n"/>
      <c r="F105" s="9">
        <f>IF($B105="","",IFERROR(VLOOKUP($B105,Agents!$A:$C,3,FALSE),"؟"))</f>
        <v/>
      </c>
      <c r="G105" s="9">
        <f>IF($D105="","",YEAR($D105))</f>
        <v/>
      </c>
      <c r="H105" s="9">
        <f>IF($D105="","",ROUNDUP(MONTH($D105)/3,0))</f>
        <v/>
      </c>
    </row>
    <row r="106">
      <c r="A106" s="6" t="n"/>
      <c r="B106" s="6" t="n"/>
      <c r="C106" s="8" t="n"/>
      <c r="D106" s="14" t="n"/>
      <c r="E106" s="6" t="n"/>
      <c r="F106" s="6">
        <f>IF($B106="","",IFERROR(VLOOKUP($B106,Agents!$A:$C,3,FALSE),"؟"))</f>
        <v/>
      </c>
      <c r="G106" s="6">
        <f>IF($D106="","",YEAR($D106))</f>
        <v/>
      </c>
      <c r="H106" s="6">
        <f>IF($D106="","",ROUNDUP(MONTH($D106)/3,0))</f>
        <v/>
      </c>
    </row>
    <row r="107">
      <c r="A107" s="9" t="n"/>
      <c r="B107" s="9" t="n"/>
      <c r="C107" s="10" t="n"/>
      <c r="D107" s="16" t="n"/>
      <c r="E107" s="9" t="n"/>
      <c r="F107" s="9">
        <f>IF($B107="","",IFERROR(VLOOKUP($B107,Agents!$A:$C,3,FALSE),"؟"))</f>
        <v/>
      </c>
      <c r="G107" s="9">
        <f>IF($D107="","",YEAR($D107))</f>
        <v/>
      </c>
      <c r="H107" s="9">
        <f>IF($D107="","",ROUNDUP(MONTH($D107)/3,0))</f>
        <v/>
      </c>
    </row>
    <row r="108">
      <c r="A108" s="6" t="n"/>
      <c r="B108" s="6" t="n"/>
      <c r="C108" s="8" t="n"/>
      <c r="D108" s="14" t="n"/>
      <c r="E108" s="6" t="n"/>
      <c r="F108" s="6">
        <f>IF($B108="","",IFERROR(VLOOKUP($B108,Agents!$A:$C,3,FALSE),"؟"))</f>
        <v/>
      </c>
      <c r="G108" s="6">
        <f>IF($D108="","",YEAR($D108))</f>
        <v/>
      </c>
      <c r="H108" s="6">
        <f>IF($D108="","",ROUNDUP(MONTH($D108)/3,0))</f>
        <v/>
      </c>
    </row>
    <row r="109">
      <c r="A109" s="9" t="n"/>
      <c r="B109" s="9" t="n"/>
      <c r="C109" s="10" t="n"/>
      <c r="D109" s="16" t="n"/>
      <c r="E109" s="9" t="n"/>
      <c r="F109" s="9">
        <f>IF($B109="","",IFERROR(VLOOKUP($B109,Agents!$A:$C,3,FALSE),"؟"))</f>
        <v/>
      </c>
      <c r="G109" s="9">
        <f>IF($D109="","",YEAR($D109))</f>
        <v/>
      </c>
      <c r="H109" s="9">
        <f>IF($D109="","",ROUNDUP(MONTH($D109)/3,0))</f>
        <v/>
      </c>
    </row>
    <row r="110">
      <c r="A110" s="6" t="n"/>
      <c r="B110" s="6" t="n"/>
      <c r="C110" s="8" t="n"/>
      <c r="D110" s="14" t="n"/>
      <c r="E110" s="6" t="n"/>
      <c r="F110" s="6">
        <f>IF($B110="","",IFERROR(VLOOKUP($B110,Agents!$A:$C,3,FALSE),"؟"))</f>
        <v/>
      </c>
      <c r="G110" s="6">
        <f>IF($D110="","",YEAR($D110))</f>
        <v/>
      </c>
      <c r="H110" s="6">
        <f>IF($D110="","",ROUNDUP(MONTH($D110)/3,0))</f>
        <v/>
      </c>
    </row>
    <row r="111">
      <c r="A111" s="9" t="n"/>
      <c r="B111" s="9" t="n"/>
      <c r="C111" s="10" t="n"/>
      <c r="D111" s="16" t="n"/>
      <c r="E111" s="9" t="n"/>
      <c r="F111" s="9">
        <f>IF($B111="","",IFERROR(VLOOKUP($B111,Agents!$A:$C,3,FALSE),"؟"))</f>
        <v/>
      </c>
      <c r="G111" s="9">
        <f>IF($D111="","",YEAR($D111))</f>
        <v/>
      </c>
      <c r="H111" s="9">
        <f>IF($D111="","",ROUNDUP(MONTH($D111)/3,0))</f>
        <v/>
      </c>
    </row>
    <row r="112">
      <c r="A112" s="6" t="n"/>
      <c r="B112" s="6" t="n"/>
      <c r="C112" s="8" t="n"/>
      <c r="D112" s="14" t="n"/>
      <c r="E112" s="6" t="n"/>
      <c r="F112" s="6">
        <f>IF($B112="","",IFERROR(VLOOKUP($B112,Agents!$A:$C,3,FALSE),"؟"))</f>
        <v/>
      </c>
      <c r="G112" s="6">
        <f>IF($D112="","",YEAR($D112))</f>
        <v/>
      </c>
      <c r="H112" s="6">
        <f>IF($D112="","",ROUNDUP(MONTH($D112)/3,0))</f>
        <v/>
      </c>
    </row>
    <row r="113">
      <c r="A113" s="9" t="n"/>
      <c r="B113" s="9" t="n"/>
      <c r="C113" s="10" t="n"/>
      <c r="D113" s="16" t="n"/>
      <c r="E113" s="9" t="n"/>
      <c r="F113" s="9">
        <f>IF($B113="","",IFERROR(VLOOKUP($B113,Agents!$A:$C,3,FALSE),"؟"))</f>
        <v/>
      </c>
      <c r="G113" s="9">
        <f>IF($D113="","",YEAR($D113))</f>
        <v/>
      </c>
      <c r="H113" s="9">
        <f>IF($D113="","",ROUNDUP(MONTH($D113)/3,0))</f>
        <v/>
      </c>
    </row>
    <row r="114">
      <c r="A114" s="6" t="n"/>
      <c r="B114" s="6" t="n"/>
      <c r="C114" s="8" t="n"/>
      <c r="D114" s="14" t="n"/>
      <c r="E114" s="6" t="n"/>
      <c r="F114" s="6">
        <f>IF($B114="","",IFERROR(VLOOKUP($B114,Agents!$A:$C,3,FALSE),"؟"))</f>
        <v/>
      </c>
      <c r="G114" s="6">
        <f>IF($D114="","",YEAR($D114))</f>
        <v/>
      </c>
      <c r="H114" s="6">
        <f>IF($D114="","",ROUNDUP(MONTH($D114)/3,0))</f>
        <v/>
      </c>
    </row>
    <row r="115">
      <c r="A115" s="9" t="n"/>
      <c r="B115" s="9" t="n"/>
      <c r="C115" s="10" t="n"/>
      <c r="D115" s="16" t="n"/>
      <c r="E115" s="9" t="n"/>
      <c r="F115" s="9">
        <f>IF($B115="","",IFERROR(VLOOKUP($B115,Agents!$A:$C,3,FALSE),"؟"))</f>
        <v/>
      </c>
      <c r="G115" s="9">
        <f>IF($D115="","",YEAR($D115))</f>
        <v/>
      </c>
      <c r="H115" s="9">
        <f>IF($D115="","",ROUNDUP(MONTH($D115)/3,0))</f>
        <v/>
      </c>
    </row>
    <row r="116">
      <c r="A116" s="6" t="n"/>
      <c r="B116" s="6" t="n"/>
      <c r="C116" s="8" t="n"/>
      <c r="D116" s="14" t="n"/>
      <c r="E116" s="6" t="n"/>
      <c r="F116" s="6">
        <f>IF($B116="","",IFERROR(VLOOKUP($B116,Agents!$A:$C,3,FALSE),"؟"))</f>
        <v/>
      </c>
      <c r="G116" s="6">
        <f>IF($D116="","",YEAR($D116))</f>
        <v/>
      </c>
      <c r="H116" s="6">
        <f>IF($D116="","",ROUNDUP(MONTH($D116)/3,0))</f>
        <v/>
      </c>
    </row>
    <row r="117">
      <c r="A117" s="9" t="n"/>
      <c r="B117" s="9" t="n"/>
      <c r="C117" s="10" t="n"/>
      <c r="D117" s="16" t="n"/>
      <c r="E117" s="9" t="n"/>
      <c r="F117" s="9">
        <f>IF($B117="","",IFERROR(VLOOKUP($B117,Agents!$A:$C,3,FALSE),"؟"))</f>
        <v/>
      </c>
      <c r="G117" s="9">
        <f>IF($D117="","",YEAR($D117))</f>
        <v/>
      </c>
      <c r="H117" s="9">
        <f>IF($D117="","",ROUNDUP(MONTH($D117)/3,0))</f>
        <v/>
      </c>
    </row>
    <row r="118">
      <c r="A118" s="6" t="n"/>
      <c r="B118" s="6" t="n"/>
      <c r="C118" s="8" t="n"/>
      <c r="D118" s="14" t="n"/>
      <c r="E118" s="6" t="n"/>
      <c r="F118" s="6">
        <f>IF($B118="","",IFERROR(VLOOKUP($B118,Agents!$A:$C,3,FALSE),"؟"))</f>
        <v/>
      </c>
      <c r="G118" s="6">
        <f>IF($D118="","",YEAR($D118))</f>
        <v/>
      </c>
      <c r="H118" s="6">
        <f>IF($D118="","",ROUNDUP(MONTH($D118)/3,0))</f>
        <v/>
      </c>
    </row>
    <row r="119">
      <c r="A119" s="9" t="n"/>
      <c r="B119" s="9" t="n"/>
      <c r="C119" s="10" t="n"/>
      <c r="D119" s="16" t="n"/>
      <c r="E119" s="9" t="n"/>
      <c r="F119" s="9">
        <f>IF($B119="","",IFERROR(VLOOKUP($B119,Agents!$A:$C,3,FALSE),"؟"))</f>
        <v/>
      </c>
      <c r="G119" s="9">
        <f>IF($D119="","",YEAR($D119))</f>
        <v/>
      </c>
      <c r="H119" s="9">
        <f>IF($D119="","",ROUNDUP(MONTH($D119)/3,0))</f>
        <v/>
      </c>
    </row>
    <row r="120">
      <c r="A120" s="6" t="n"/>
      <c r="B120" s="6" t="n"/>
      <c r="C120" s="8" t="n"/>
      <c r="D120" s="14" t="n"/>
      <c r="E120" s="6" t="n"/>
      <c r="F120" s="6">
        <f>IF($B120="","",IFERROR(VLOOKUP($B120,Agents!$A:$C,3,FALSE),"؟"))</f>
        <v/>
      </c>
      <c r="G120" s="6">
        <f>IF($D120="","",YEAR($D120))</f>
        <v/>
      </c>
      <c r="H120" s="6">
        <f>IF($D120="","",ROUNDUP(MONTH($D120)/3,0))</f>
        <v/>
      </c>
    </row>
    <row r="121">
      <c r="A121" s="9" t="n"/>
      <c r="B121" s="9" t="n"/>
      <c r="C121" s="10" t="n"/>
      <c r="D121" s="16" t="n"/>
      <c r="E121" s="9" t="n"/>
      <c r="F121" s="9">
        <f>IF($B121="","",IFERROR(VLOOKUP($B121,Agents!$A:$C,3,FALSE),"؟"))</f>
        <v/>
      </c>
      <c r="G121" s="9">
        <f>IF($D121="","",YEAR($D121))</f>
        <v/>
      </c>
      <c r="H121" s="9">
        <f>IF($D121="","",ROUNDUP(MONTH($D121)/3,0))</f>
        <v/>
      </c>
    </row>
    <row r="122">
      <c r="A122" s="6" t="n"/>
      <c r="B122" s="6" t="n"/>
      <c r="C122" s="8" t="n"/>
      <c r="D122" s="14" t="n"/>
      <c r="E122" s="6" t="n"/>
      <c r="F122" s="6">
        <f>IF($B122="","",IFERROR(VLOOKUP($B122,Agents!$A:$C,3,FALSE),"؟"))</f>
        <v/>
      </c>
      <c r="G122" s="6">
        <f>IF($D122="","",YEAR($D122))</f>
        <v/>
      </c>
      <c r="H122" s="6">
        <f>IF($D122="","",ROUNDUP(MONTH($D122)/3,0))</f>
        <v/>
      </c>
    </row>
    <row r="123">
      <c r="A123" s="9" t="n"/>
      <c r="B123" s="9" t="n"/>
      <c r="C123" s="10" t="n"/>
      <c r="D123" s="16" t="n"/>
      <c r="E123" s="9" t="n"/>
      <c r="F123" s="9">
        <f>IF($B123="","",IFERROR(VLOOKUP($B123,Agents!$A:$C,3,FALSE),"؟"))</f>
        <v/>
      </c>
      <c r="G123" s="9">
        <f>IF($D123="","",YEAR($D123))</f>
        <v/>
      </c>
      <c r="H123" s="9">
        <f>IF($D123="","",ROUNDUP(MONTH($D123)/3,0))</f>
        <v/>
      </c>
    </row>
    <row r="124">
      <c r="A124" s="6" t="n"/>
      <c r="B124" s="6" t="n"/>
      <c r="C124" s="8" t="n"/>
      <c r="D124" s="14" t="n"/>
      <c r="E124" s="6" t="n"/>
      <c r="F124" s="6">
        <f>IF($B124="","",IFERROR(VLOOKUP($B124,Agents!$A:$C,3,FALSE),"؟"))</f>
        <v/>
      </c>
      <c r="G124" s="6">
        <f>IF($D124="","",YEAR($D124))</f>
        <v/>
      </c>
      <c r="H124" s="6">
        <f>IF($D124="","",ROUNDUP(MONTH($D124)/3,0))</f>
        <v/>
      </c>
    </row>
    <row r="125">
      <c r="A125" s="9" t="n"/>
      <c r="B125" s="9" t="n"/>
      <c r="C125" s="10" t="n"/>
      <c r="D125" s="16" t="n"/>
      <c r="E125" s="9" t="n"/>
      <c r="F125" s="9">
        <f>IF($B125="","",IFERROR(VLOOKUP($B125,Agents!$A:$C,3,FALSE),"؟"))</f>
        <v/>
      </c>
      <c r="G125" s="9">
        <f>IF($D125="","",YEAR($D125))</f>
        <v/>
      </c>
      <c r="H125" s="9">
        <f>IF($D125="","",ROUNDUP(MONTH($D125)/3,0))</f>
        <v/>
      </c>
    </row>
    <row r="126">
      <c r="A126" s="6" t="n"/>
      <c r="B126" s="6" t="n"/>
      <c r="C126" s="8" t="n"/>
      <c r="D126" s="14" t="n"/>
      <c r="E126" s="6" t="n"/>
      <c r="F126" s="6">
        <f>IF($B126="","",IFERROR(VLOOKUP($B126,Agents!$A:$C,3,FALSE),"؟"))</f>
        <v/>
      </c>
      <c r="G126" s="6">
        <f>IF($D126="","",YEAR($D126))</f>
        <v/>
      </c>
      <c r="H126" s="6">
        <f>IF($D126="","",ROUNDUP(MONTH($D126)/3,0))</f>
        <v/>
      </c>
    </row>
    <row r="127">
      <c r="A127" s="9" t="n"/>
      <c r="B127" s="9" t="n"/>
      <c r="C127" s="10" t="n"/>
      <c r="D127" s="16" t="n"/>
      <c r="E127" s="9" t="n"/>
      <c r="F127" s="9">
        <f>IF($B127="","",IFERROR(VLOOKUP($B127,Agents!$A:$C,3,FALSE),"؟"))</f>
        <v/>
      </c>
      <c r="G127" s="9">
        <f>IF($D127="","",YEAR($D127))</f>
        <v/>
      </c>
      <c r="H127" s="9">
        <f>IF($D127="","",ROUNDUP(MONTH($D127)/3,0))</f>
        <v/>
      </c>
    </row>
    <row r="128">
      <c r="A128" s="6" t="n"/>
      <c r="B128" s="6" t="n"/>
      <c r="C128" s="8" t="n"/>
      <c r="D128" s="14" t="n"/>
      <c r="E128" s="6" t="n"/>
      <c r="F128" s="6">
        <f>IF($B128="","",IFERROR(VLOOKUP($B128,Agents!$A:$C,3,FALSE),"؟"))</f>
        <v/>
      </c>
      <c r="G128" s="6">
        <f>IF($D128="","",YEAR($D128))</f>
        <v/>
      </c>
      <c r="H128" s="6">
        <f>IF($D128="","",ROUNDUP(MONTH($D128)/3,0))</f>
        <v/>
      </c>
    </row>
    <row r="129">
      <c r="A129" s="9" t="n"/>
      <c r="B129" s="9" t="n"/>
      <c r="C129" s="10" t="n"/>
      <c r="D129" s="16" t="n"/>
      <c r="E129" s="9" t="n"/>
      <c r="F129" s="9">
        <f>IF($B129="","",IFERROR(VLOOKUP($B129,Agents!$A:$C,3,FALSE),"؟"))</f>
        <v/>
      </c>
      <c r="G129" s="9">
        <f>IF($D129="","",YEAR($D129))</f>
        <v/>
      </c>
      <c r="H129" s="9">
        <f>IF($D129="","",ROUNDUP(MONTH($D129)/3,0))</f>
        <v/>
      </c>
    </row>
    <row r="130">
      <c r="A130" s="6" t="n"/>
      <c r="B130" s="6" t="n"/>
      <c r="C130" s="8" t="n"/>
      <c r="D130" s="14" t="n"/>
      <c r="E130" s="6" t="n"/>
      <c r="F130" s="6">
        <f>IF($B130="","",IFERROR(VLOOKUP($B130,Agents!$A:$C,3,FALSE),"؟"))</f>
        <v/>
      </c>
      <c r="G130" s="6">
        <f>IF($D130="","",YEAR($D130))</f>
        <v/>
      </c>
      <c r="H130" s="6">
        <f>IF($D130="","",ROUNDUP(MONTH($D130)/3,0))</f>
        <v/>
      </c>
    </row>
    <row r="131">
      <c r="A131" s="9" t="n"/>
      <c r="B131" s="9" t="n"/>
      <c r="C131" s="10" t="n"/>
      <c r="D131" s="16" t="n"/>
      <c r="E131" s="9" t="n"/>
      <c r="F131" s="9">
        <f>IF($B131="","",IFERROR(VLOOKUP($B131,Agents!$A:$C,3,FALSE),"؟"))</f>
        <v/>
      </c>
      <c r="G131" s="9">
        <f>IF($D131="","",YEAR($D131))</f>
        <v/>
      </c>
      <c r="H131" s="9">
        <f>IF($D131="","",ROUNDUP(MONTH($D131)/3,0))</f>
        <v/>
      </c>
    </row>
    <row r="132">
      <c r="A132" s="6" t="n"/>
      <c r="B132" s="6" t="n"/>
      <c r="C132" s="8" t="n"/>
      <c r="D132" s="14" t="n"/>
      <c r="E132" s="6" t="n"/>
      <c r="F132" s="6">
        <f>IF($B132="","",IFERROR(VLOOKUP($B132,Agents!$A:$C,3,FALSE),"؟"))</f>
        <v/>
      </c>
      <c r="G132" s="6">
        <f>IF($D132="","",YEAR($D132))</f>
        <v/>
      </c>
      <c r="H132" s="6">
        <f>IF($D132="","",ROUNDUP(MONTH($D132)/3,0))</f>
        <v/>
      </c>
    </row>
    <row r="133">
      <c r="A133" s="9" t="n"/>
      <c r="B133" s="9" t="n"/>
      <c r="C133" s="10" t="n"/>
      <c r="D133" s="16" t="n"/>
      <c r="E133" s="9" t="n"/>
      <c r="F133" s="9">
        <f>IF($B133="","",IFERROR(VLOOKUP($B133,Agents!$A:$C,3,FALSE),"؟"))</f>
        <v/>
      </c>
      <c r="G133" s="9">
        <f>IF($D133="","",YEAR($D133))</f>
        <v/>
      </c>
      <c r="H133" s="9">
        <f>IF($D133="","",ROUNDUP(MONTH($D133)/3,0))</f>
        <v/>
      </c>
    </row>
    <row r="134">
      <c r="A134" s="6" t="n"/>
      <c r="B134" s="6" t="n"/>
      <c r="C134" s="8" t="n"/>
      <c r="D134" s="14" t="n"/>
      <c r="E134" s="6" t="n"/>
      <c r="F134" s="6">
        <f>IF($B134="","",IFERROR(VLOOKUP($B134,Agents!$A:$C,3,FALSE),"؟"))</f>
        <v/>
      </c>
      <c r="G134" s="6">
        <f>IF($D134="","",YEAR($D134))</f>
        <v/>
      </c>
      <c r="H134" s="6">
        <f>IF($D134="","",ROUNDUP(MONTH($D134)/3,0))</f>
        <v/>
      </c>
    </row>
    <row r="135">
      <c r="A135" s="9" t="n"/>
      <c r="B135" s="9" t="n"/>
      <c r="C135" s="10" t="n"/>
      <c r="D135" s="16" t="n"/>
      <c r="E135" s="9" t="n"/>
      <c r="F135" s="9">
        <f>IF($B135="","",IFERROR(VLOOKUP($B135,Agents!$A:$C,3,FALSE),"؟"))</f>
        <v/>
      </c>
      <c r="G135" s="9">
        <f>IF($D135="","",YEAR($D135))</f>
        <v/>
      </c>
      <c r="H135" s="9">
        <f>IF($D135="","",ROUNDUP(MONTH($D135)/3,0))</f>
        <v/>
      </c>
    </row>
    <row r="136">
      <c r="A136" s="6" t="n"/>
      <c r="B136" s="6" t="n"/>
      <c r="C136" s="8" t="n"/>
      <c r="D136" s="14" t="n"/>
      <c r="E136" s="6" t="n"/>
      <c r="F136" s="6">
        <f>IF($B136="","",IFERROR(VLOOKUP($B136,Agents!$A:$C,3,FALSE),"؟"))</f>
        <v/>
      </c>
      <c r="G136" s="6">
        <f>IF($D136="","",YEAR($D136))</f>
        <v/>
      </c>
      <c r="H136" s="6">
        <f>IF($D136="","",ROUNDUP(MONTH($D136)/3,0))</f>
        <v/>
      </c>
    </row>
    <row r="137">
      <c r="A137" s="9" t="n"/>
      <c r="B137" s="9" t="n"/>
      <c r="C137" s="10" t="n"/>
      <c r="D137" s="16" t="n"/>
      <c r="E137" s="9" t="n"/>
      <c r="F137" s="9">
        <f>IF($B137="","",IFERROR(VLOOKUP($B137,Agents!$A:$C,3,FALSE),"؟"))</f>
        <v/>
      </c>
      <c r="G137" s="9">
        <f>IF($D137="","",YEAR($D137))</f>
        <v/>
      </c>
      <c r="H137" s="9">
        <f>IF($D137="","",ROUNDUP(MONTH($D137)/3,0))</f>
        <v/>
      </c>
    </row>
    <row r="138">
      <c r="A138" s="6" t="n"/>
      <c r="B138" s="6" t="n"/>
      <c r="C138" s="8" t="n"/>
      <c r="D138" s="14" t="n"/>
      <c r="E138" s="6" t="n"/>
      <c r="F138" s="6">
        <f>IF($B138="","",IFERROR(VLOOKUP($B138,Agents!$A:$C,3,FALSE),"؟"))</f>
        <v/>
      </c>
      <c r="G138" s="6">
        <f>IF($D138="","",YEAR($D138))</f>
        <v/>
      </c>
      <c r="H138" s="6">
        <f>IF($D138="","",ROUNDUP(MONTH($D138)/3,0))</f>
        <v/>
      </c>
    </row>
    <row r="139">
      <c r="A139" s="9" t="n"/>
      <c r="B139" s="9" t="n"/>
      <c r="C139" s="10" t="n"/>
      <c r="D139" s="16" t="n"/>
      <c r="E139" s="9" t="n"/>
      <c r="F139" s="9">
        <f>IF($B139="","",IFERROR(VLOOKUP($B139,Agents!$A:$C,3,FALSE),"؟"))</f>
        <v/>
      </c>
      <c r="G139" s="9">
        <f>IF($D139="","",YEAR($D139))</f>
        <v/>
      </c>
      <c r="H139" s="9">
        <f>IF($D139="","",ROUNDUP(MONTH($D139)/3,0))</f>
        <v/>
      </c>
    </row>
    <row r="140">
      <c r="A140" s="6" t="n"/>
      <c r="B140" s="6" t="n"/>
      <c r="C140" s="8" t="n"/>
      <c r="D140" s="14" t="n"/>
      <c r="E140" s="6" t="n"/>
      <c r="F140" s="6">
        <f>IF($B140="","",IFERROR(VLOOKUP($B140,Agents!$A:$C,3,FALSE),"؟"))</f>
        <v/>
      </c>
      <c r="G140" s="6">
        <f>IF($D140="","",YEAR($D140))</f>
        <v/>
      </c>
      <c r="H140" s="6">
        <f>IF($D140="","",ROUNDUP(MONTH($D140)/3,0))</f>
        <v/>
      </c>
    </row>
    <row r="141">
      <c r="A141" s="9" t="n"/>
      <c r="B141" s="9" t="n"/>
      <c r="C141" s="10" t="n"/>
      <c r="D141" s="16" t="n"/>
      <c r="E141" s="9" t="n"/>
      <c r="F141" s="9">
        <f>IF($B141="","",IFERROR(VLOOKUP($B141,Agents!$A:$C,3,FALSE),"؟"))</f>
        <v/>
      </c>
      <c r="G141" s="9">
        <f>IF($D141="","",YEAR($D141))</f>
        <v/>
      </c>
      <c r="H141" s="9">
        <f>IF($D141="","",ROUNDUP(MONTH($D141)/3,0))</f>
        <v/>
      </c>
    </row>
    <row r="142">
      <c r="A142" s="6" t="n"/>
      <c r="B142" s="6" t="n"/>
      <c r="C142" s="8" t="n"/>
      <c r="D142" s="14" t="n"/>
      <c r="E142" s="6" t="n"/>
      <c r="F142" s="6">
        <f>IF($B142="","",IFERROR(VLOOKUP($B142,Agents!$A:$C,3,FALSE),"؟"))</f>
        <v/>
      </c>
      <c r="G142" s="6">
        <f>IF($D142="","",YEAR($D142))</f>
        <v/>
      </c>
      <c r="H142" s="6">
        <f>IF($D142="","",ROUNDUP(MONTH($D142)/3,0))</f>
        <v/>
      </c>
    </row>
    <row r="143">
      <c r="A143" s="9" t="n"/>
      <c r="B143" s="9" t="n"/>
      <c r="C143" s="10" t="n"/>
      <c r="D143" s="16" t="n"/>
      <c r="E143" s="9" t="n"/>
      <c r="F143" s="9">
        <f>IF($B143="","",IFERROR(VLOOKUP($B143,Agents!$A:$C,3,FALSE),"؟"))</f>
        <v/>
      </c>
      <c r="G143" s="9">
        <f>IF($D143="","",YEAR($D143))</f>
        <v/>
      </c>
      <c r="H143" s="9">
        <f>IF($D143="","",ROUNDUP(MONTH($D143)/3,0))</f>
        <v/>
      </c>
    </row>
    <row r="144">
      <c r="A144" s="6" t="n"/>
      <c r="B144" s="6" t="n"/>
      <c r="C144" s="8" t="n"/>
      <c r="D144" s="14" t="n"/>
      <c r="E144" s="6" t="n"/>
      <c r="F144" s="6">
        <f>IF($B144="","",IFERROR(VLOOKUP($B144,Agents!$A:$C,3,FALSE),"؟"))</f>
        <v/>
      </c>
      <c r="G144" s="6">
        <f>IF($D144="","",YEAR($D144))</f>
        <v/>
      </c>
      <c r="H144" s="6">
        <f>IF($D144="","",ROUNDUP(MONTH($D144)/3,0))</f>
        <v/>
      </c>
    </row>
    <row r="145">
      <c r="A145" s="9" t="n"/>
      <c r="B145" s="9" t="n"/>
      <c r="C145" s="10" t="n"/>
      <c r="D145" s="16" t="n"/>
      <c r="E145" s="9" t="n"/>
      <c r="F145" s="9">
        <f>IF($B145="","",IFERROR(VLOOKUP($B145,Agents!$A:$C,3,FALSE),"؟"))</f>
        <v/>
      </c>
      <c r="G145" s="9">
        <f>IF($D145="","",YEAR($D145))</f>
        <v/>
      </c>
      <c r="H145" s="9">
        <f>IF($D145="","",ROUNDUP(MONTH($D145)/3,0))</f>
        <v/>
      </c>
    </row>
    <row r="146">
      <c r="A146" s="6" t="n"/>
      <c r="B146" s="6" t="n"/>
      <c r="C146" s="8" t="n"/>
      <c r="D146" s="14" t="n"/>
      <c r="E146" s="6" t="n"/>
      <c r="F146" s="6">
        <f>IF($B146="","",IFERROR(VLOOKUP($B146,Agents!$A:$C,3,FALSE),"؟"))</f>
        <v/>
      </c>
      <c r="G146" s="6">
        <f>IF($D146="","",YEAR($D146))</f>
        <v/>
      </c>
      <c r="H146" s="6">
        <f>IF($D146="","",ROUNDUP(MONTH($D146)/3,0))</f>
        <v/>
      </c>
    </row>
    <row r="147">
      <c r="A147" s="9" t="n"/>
      <c r="B147" s="9" t="n"/>
      <c r="C147" s="10" t="n"/>
      <c r="D147" s="16" t="n"/>
      <c r="E147" s="9" t="n"/>
      <c r="F147" s="9">
        <f>IF($B147="","",IFERROR(VLOOKUP($B147,Agents!$A:$C,3,FALSE),"؟"))</f>
        <v/>
      </c>
      <c r="G147" s="9">
        <f>IF($D147="","",YEAR($D147))</f>
        <v/>
      </c>
      <c r="H147" s="9">
        <f>IF($D147="","",ROUNDUP(MONTH($D147)/3,0))</f>
        <v/>
      </c>
    </row>
    <row r="148">
      <c r="A148" s="6" t="n"/>
      <c r="B148" s="6" t="n"/>
      <c r="C148" s="8" t="n"/>
      <c r="D148" s="14" t="n"/>
      <c r="E148" s="6" t="n"/>
      <c r="F148" s="6">
        <f>IF($B148="","",IFERROR(VLOOKUP($B148,Agents!$A:$C,3,FALSE),"؟"))</f>
        <v/>
      </c>
      <c r="G148" s="6">
        <f>IF($D148="","",YEAR($D148))</f>
        <v/>
      </c>
      <c r="H148" s="6">
        <f>IF($D148="","",ROUNDUP(MONTH($D148)/3,0))</f>
        <v/>
      </c>
    </row>
    <row r="149">
      <c r="A149" s="9" t="n"/>
      <c r="B149" s="9" t="n"/>
      <c r="C149" s="10" t="n"/>
      <c r="D149" s="16" t="n"/>
      <c r="E149" s="9" t="n"/>
      <c r="F149" s="9">
        <f>IF($B149="","",IFERROR(VLOOKUP($B149,Agents!$A:$C,3,FALSE),"؟"))</f>
        <v/>
      </c>
      <c r="G149" s="9">
        <f>IF($D149="","",YEAR($D149))</f>
        <v/>
      </c>
      <c r="H149" s="9">
        <f>IF($D149="","",ROUNDUP(MONTH($D149)/3,0))</f>
        <v/>
      </c>
    </row>
    <row r="150">
      <c r="A150" s="6" t="n"/>
      <c r="B150" s="6" t="n"/>
      <c r="C150" s="8" t="n"/>
      <c r="D150" s="14" t="n"/>
      <c r="E150" s="6" t="n"/>
      <c r="F150" s="6">
        <f>IF($B150="","",IFERROR(VLOOKUP($B150,Agents!$A:$C,3,FALSE),"؟"))</f>
        <v/>
      </c>
      <c r="G150" s="6">
        <f>IF($D150="","",YEAR($D150))</f>
        <v/>
      </c>
      <c r="H150" s="6">
        <f>IF($D150="","",ROUNDUP(MONTH($D150)/3,0))</f>
        <v/>
      </c>
    </row>
    <row r="151">
      <c r="A151" s="9" t="n"/>
      <c r="B151" s="9" t="n"/>
      <c r="C151" s="10" t="n"/>
      <c r="D151" s="16" t="n"/>
      <c r="E151" s="9" t="n"/>
      <c r="F151" s="9">
        <f>IF($B151="","",IFERROR(VLOOKUP($B151,Agents!$A:$C,3,FALSE),"؟"))</f>
        <v/>
      </c>
      <c r="G151" s="9">
        <f>IF($D151="","",YEAR($D151))</f>
        <v/>
      </c>
      <c r="H151" s="9">
        <f>IF($D151="","",ROUNDUP(MONTH($D151)/3,0))</f>
        <v/>
      </c>
    </row>
    <row r="152">
      <c r="A152" s="6" t="n"/>
      <c r="B152" s="6" t="n"/>
      <c r="C152" s="8" t="n"/>
      <c r="D152" s="14" t="n"/>
      <c r="E152" s="6" t="n"/>
      <c r="F152" s="6">
        <f>IF($B152="","",IFERROR(VLOOKUP($B152,Agents!$A:$C,3,FALSE),"؟"))</f>
        <v/>
      </c>
      <c r="G152" s="6">
        <f>IF($D152="","",YEAR($D152))</f>
        <v/>
      </c>
      <c r="H152" s="6">
        <f>IF($D152="","",ROUNDUP(MONTH($D152)/3,0))</f>
        <v/>
      </c>
    </row>
    <row r="153">
      <c r="A153" s="9" t="n"/>
      <c r="B153" s="9" t="n"/>
      <c r="C153" s="10" t="n"/>
      <c r="D153" s="16" t="n"/>
      <c r="E153" s="9" t="n"/>
      <c r="F153" s="9">
        <f>IF($B153="","",IFERROR(VLOOKUP($B153,Agents!$A:$C,3,FALSE),"؟"))</f>
        <v/>
      </c>
      <c r="G153" s="9">
        <f>IF($D153="","",YEAR($D153))</f>
        <v/>
      </c>
      <c r="H153" s="9">
        <f>IF($D153="","",ROUNDUP(MONTH($D153)/3,0))</f>
        <v/>
      </c>
    </row>
    <row r="154">
      <c r="A154" s="6" t="n"/>
      <c r="B154" s="6" t="n"/>
      <c r="C154" s="8" t="n"/>
      <c r="D154" s="14" t="n"/>
      <c r="E154" s="6" t="n"/>
      <c r="F154" s="6">
        <f>IF($B154="","",IFERROR(VLOOKUP($B154,Agents!$A:$C,3,FALSE),"؟"))</f>
        <v/>
      </c>
      <c r="G154" s="6">
        <f>IF($D154="","",YEAR($D154))</f>
        <v/>
      </c>
      <c r="H154" s="6">
        <f>IF($D154="","",ROUNDUP(MONTH($D154)/3,0))</f>
        <v/>
      </c>
    </row>
    <row r="155">
      <c r="A155" s="9" t="n"/>
      <c r="B155" s="9" t="n"/>
      <c r="C155" s="10" t="n"/>
      <c r="D155" s="16" t="n"/>
      <c r="E155" s="9" t="n"/>
      <c r="F155" s="9">
        <f>IF($B155="","",IFERROR(VLOOKUP($B155,Agents!$A:$C,3,FALSE),"؟"))</f>
        <v/>
      </c>
      <c r="G155" s="9">
        <f>IF($D155="","",YEAR($D155))</f>
        <v/>
      </c>
      <c r="H155" s="9">
        <f>IF($D155="","",ROUNDUP(MONTH($D155)/3,0))</f>
        <v/>
      </c>
    </row>
    <row r="156">
      <c r="A156" s="6" t="n"/>
      <c r="B156" s="6" t="n"/>
      <c r="C156" s="8" t="n"/>
      <c r="D156" s="14" t="n"/>
      <c r="E156" s="6" t="n"/>
      <c r="F156" s="6">
        <f>IF($B156="","",IFERROR(VLOOKUP($B156,Agents!$A:$C,3,FALSE),"؟"))</f>
        <v/>
      </c>
      <c r="G156" s="6">
        <f>IF($D156="","",YEAR($D156))</f>
        <v/>
      </c>
      <c r="H156" s="6">
        <f>IF($D156="","",ROUNDUP(MONTH($D156)/3,0))</f>
        <v/>
      </c>
    </row>
    <row r="157">
      <c r="A157" s="9" t="n"/>
      <c r="B157" s="9" t="n"/>
      <c r="C157" s="10" t="n"/>
      <c r="D157" s="16" t="n"/>
      <c r="E157" s="9" t="n"/>
      <c r="F157" s="9">
        <f>IF($B157="","",IFERROR(VLOOKUP($B157,Agents!$A:$C,3,FALSE),"؟"))</f>
        <v/>
      </c>
      <c r="G157" s="9">
        <f>IF($D157="","",YEAR($D157))</f>
        <v/>
      </c>
      <c r="H157" s="9">
        <f>IF($D157="","",ROUNDUP(MONTH($D157)/3,0))</f>
        <v/>
      </c>
    </row>
    <row r="158">
      <c r="A158" s="6" t="n"/>
      <c r="B158" s="6" t="n"/>
      <c r="C158" s="8" t="n"/>
      <c r="D158" s="14" t="n"/>
      <c r="E158" s="6" t="n"/>
      <c r="F158" s="6">
        <f>IF($B158="","",IFERROR(VLOOKUP($B158,Agents!$A:$C,3,FALSE),"؟"))</f>
        <v/>
      </c>
      <c r="G158" s="6">
        <f>IF($D158="","",YEAR($D158))</f>
        <v/>
      </c>
      <c r="H158" s="6">
        <f>IF($D158="","",ROUNDUP(MONTH($D158)/3,0))</f>
        <v/>
      </c>
    </row>
    <row r="159">
      <c r="A159" s="9" t="n"/>
      <c r="B159" s="9" t="n"/>
      <c r="C159" s="10" t="n"/>
      <c r="D159" s="16" t="n"/>
      <c r="E159" s="9" t="n"/>
      <c r="F159" s="9">
        <f>IF($B159="","",IFERROR(VLOOKUP($B159,Agents!$A:$C,3,FALSE),"؟"))</f>
        <v/>
      </c>
      <c r="G159" s="9">
        <f>IF($D159="","",YEAR($D159))</f>
        <v/>
      </c>
      <c r="H159" s="9">
        <f>IF($D159="","",ROUNDUP(MONTH($D159)/3,0))</f>
        <v/>
      </c>
    </row>
    <row r="160">
      <c r="A160" s="6" t="n"/>
      <c r="B160" s="6" t="n"/>
      <c r="C160" s="8" t="n"/>
      <c r="D160" s="14" t="n"/>
      <c r="E160" s="6" t="n"/>
      <c r="F160" s="6">
        <f>IF($B160="","",IFERROR(VLOOKUP($B160,Agents!$A:$C,3,FALSE),"؟"))</f>
        <v/>
      </c>
      <c r="G160" s="6">
        <f>IF($D160="","",YEAR($D160))</f>
        <v/>
      </c>
      <c r="H160" s="6">
        <f>IF($D160="","",ROUNDUP(MONTH($D160)/3,0))</f>
        <v/>
      </c>
    </row>
    <row r="161">
      <c r="A161" s="9" t="n"/>
      <c r="B161" s="9" t="n"/>
      <c r="C161" s="10" t="n"/>
      <c r="D161" s="16" t="n"/>
      <c r="E161" s="9" t="n"/>
      <c r="F161" s="9">
        <f>IF($B161="","",IFERROR(VLOOKUP($B161,Agents!$A:$C,3,FALSE),"؟"))</f>
        <v/>
      </c>
      <c r="G161" s="9">
        <f>IF($D161="","",YEAR($D161))</f>
        <v/>
      </c>
      <c r="H161" s="9">
        <f>IF($D161="","",ROUNDUP(MONTH($D161)/3,0))</f>
        <v/>
      </c>
    </row>
    <row r="162">
      <c r="A162" s="6" t="n"/>
      <c r="B162" s="6" t="n"/>
      <c r="C162" s="8" t="n"/>
      <c r="D162" s="14" t="n"/>
      <c r="E162" s="6" t="n"/>
      <c r="F162" s="6">
        <f>IF($B162="","",IFERROR(VLOOKUP($B162,Agents!$A:$C,3,FALSE),"؟"))</f>
        <v/>
      </c>
      <c r="G162" s="6">
        <f>IF($D162="","",YEAR($D162))</f>
        <v/>
      </c>
      <c r="H162" s="6">
        <f>IF($D162="","",ROUNDUP(MONTH($D162)/3,0))</f>
        <v/>
      </c>
    </row>
    <row r="163">
      <c r="A163" s="9" t="n"/>
      <c r="B163" s="9" t="n"/>
      <c r="C163" s="10" t="n"/>
      <c r="D163" s="16" t="n"/>
      <c r="E163" s="9" t="n"/>
      <c r="F163" s="9">
        <f>IF($B163="","",IFERROR(VLOOKUP($B163,Agents!$A:$C,3,FALSE),"؟"))</f>
        <v/>
      </c>
      <c r="G163" s="9">
        <f>IF($D163="","",YEAR($D163))</f>
        <v/>
      </c>
      <c r="H163" s="9">
        <f>IF($D163="","",ROUNDUP(MONTH($D163)/3,0))</f>
        <v/>
      </c>
    </row>
    <row r="164">
      <c r="A164" s="6" t="n"/>
      <c r="B164" s="6" t="n"/>
      <c r="C164" s="8" t="n"/>
      <c r="D164" s="14" t="n"/>
      <c r="E164" s="6" t="n"/>
      <c r="F164" s="6">
        <f>IF($B164="","",IFERROR(VLOOKUP($B164,Agents!$A:$C,3,FALSE),"؟"))</f>
        <v/>
      </c>
      <c r="G164" s="6">
        <f>IF($D164="","",YEAR($D164))</f>
        <v/>
      </c>
      <c r="H164" s="6">
        <f>IF($D164="","",ROUNDUP(MONTH($D164)/3,0))</f>
        <v/>
      </c>
    </row>
    <row r="165">
      <c r="A165" s="9" t="n"/>
      <c r="B165" s="9" t="n"/>
      <c r="C165" s="10" t="n"/>
      <c r="D165" s="16" t="n"/>
      <c r="E165" s="9" t="n"/>
      <c r="F165" s="9">
        <f>IF($B165="","",IFERROR(VLOOKUP($B165,Agents!$A:$C,3,FALSE),"؟"))</f>
        <v/>
      </c>
      <c r="G165" s="9">
        <f>IF($D165="","",YEAR($D165))</f>
        <v/>
      </c>
      <c r="H165" s="9">
        <f>IF($D165="","",ROUNDUP(MONTH($D165)/3,0))</f>
        <v/>
      </c>
    </row>
    <row r="166">
      <c r="A166" s="6" t="n"/>
      <c r="B166" s="6" t="n"/>
      <c r="C166" s="8" t="n"/>
      <c r="D166" s="14" t="n"/>
      <c r="E166" s="6" t="n"/>
      <c r="F166" s="6">
        <f>IF($B166="","",IFERROR(VLOOKUP($B166,Agents!$A:$C,3,FALSE),"؟"))</f>
        <v/>
      </c>
      <c r="G166" s="6">
        <f>IF($D166="","",YEAR($D166))</f>
        <v/>
      </c>
      <c r="H166" s="6">
        <f>IF($D166="","",ROUNDUP(MONTH($D166)/3,0))</f>
        <v/>
      </c>
    </row>
    <row r="167">
      <c r="A167" s="9" t="n"/>
      <c r="B167" s="9" t="n"/>
      <c r="C167" s="10" t="n"/>
      <c r="D167" s="16" t="n"/>
      <c r="E167" s="9" t="n"/>
      <c r="F167" s="9">
        <f>IF($B167="","",IFERROR(VLOOKUP($B167,Agents!$A:$C,3,FALSE),"؟"))</f>
        <v/>
      </c>
      <c r="G167" s="9">
        <f>IF($D167="","",YEAR($D167))</f>
        <v/>
      </c>
      <c r="H167" s="9">
        <f>IF($D167="","",ROUNDUP(MONTH($D167)/3,0))</f>
        <v/>
      </c>
    </row>
    <row r="168">
      <c r="A168" s="6" t="n"/>
      <c r="B168" s="6" t="n"/>
      <c r="C168" s="8" t="n"/>
      <c r="D168" s="14" t="n"/>
      <c r="E168" s="6" t="n"/>
      <c r="F168" s="6">
        <f>IF($B168="","",IFERROR(VLOOKUP($B168,Agents!$A:$C,3,FALSE),"؟"))</f>
        <v/>
      </c>
      <c r="G168" s="6">
        <f>IF($D168="","",YEAR($D168))</f>
        <v/>
      </c>
      <c r="H168" s="6">
        <f>IF($D168="","",ROUNDUP(MONTH($D168)/3,0))</f>
        <v/>
      </c>
    </row>
    <row r="169">
      <c r="A169" s="9" t="n"/>
      <c r="B169" s="9" t="n"/>
      <c r="C169" s="10" t="n"/>
      <c r="D169" s="16" t="n"/>
      <c r="E169" s="9" t="n"/>
      <c r="F169" s="9">
        <f>IF($B169="","",IFERROR(VLOOKUP($B169,Agents!$A:$C,3,FALSE),"؟"))</f>
        <v/>
      </c>
      <c r="G169" s="9">
        <f>IF($D169="","",YEAR($D169))</f>
        <v/>
      </c>
      <c r="H169" s="9">
        <f>IF($D169="","",ROUNDUP(MONTH($D169)/3,0))</f>
        <v/>
      </c>
    </row>
    <row r="170">
      <c r="A170" s="6" t="n"/>
      <c r="B170" s="6" t="n"/>
      <c r="C170" s="8" t="n"/>
      <c r="D170" s="14" t="n"/>
      <c r="E170" s="6" t="n"/>
      <c r="F170" s="6">
        <f>IF($B170="","",IFERROR(VLOOKUP($B170,Agents!$A:$C,3,FALSE),"؟"))</f>
        <v/>
      </c>
      <c r="G170" s="6">
        <f>IF($D170="","",YEAR($D170))</f>
        <v/>
      </c>
      <c r="H170" s="6">
        <f>IF($D170="","",ROUNDUP(MONTH($D170)/3,0))</f>
        <v/>
      </c>
    </row>
    <row r="171">
      <c r="A171" s="9" t="n"/>
      <c r="B171" s="9" t="n"/>
      <c r="C171" s="10" t="n"/>
      <c r="D171" s="16" t="n"/>
      <c r="E171" s="9" t="n"/>
      <c r="F171" s="9">
        <f>IF($B171="","",IFERROR(VLOOKUP($B171,Agents!$A:$C,3,FALSE),"؟"))</f>
        <v/>
      </c>
      <c r="G171" s="9">
        <f>IF($D171="","",YEAR($D171))</f>
        <v/>
      </c>
      <c r="H171" s="9">
        <f>IF($D171="","",ROUNDUP(MONTH($D171)/3,0))</f>
        <v/>
      </c>
    </row>
    <row r="172">
      <c r="A172" s="6" t="n"/>
      <c r="B172" s="6" t="n"/>
      <c r="C172" s="8" t="n"/>
      <c r="D172" s="14" t="n"/>
      <c r="E172" s="6" t="n"/>
      <c r="F172" s="6">
        <f>IF($B172="","",IFERROR(VLOOKUP($B172,Agents!$A:$C,3,FALSE),"؟"))</f>
        <v/>
      </c>
      <c r="G172" s="6">
        <f>IF($D172="","",YEAR($D172))</f>
        <v/>
      </c>
      <c r="H172" s="6">
        <f>IF($D172="","",ROUNDUP(MONTH($D172)/3,0))</f>
        <v/>
      </c>
    </row>
    <row r="173">
      <c r="A173" s="9" t="n"/>
      <c r="B173" s="9" t="n"/>
      <c r="C173" s="10" t="n"/>
      <c r="D173" s="16" t="n"/>
      <c r="E173" s="9" t="n"/>
      <c r="F173" s="9">
        <f>IF($B173="","",IFERROR(VLOOKUP($B173,Agents!$A:$C,3,FALSE),"؟"))</f>
        <v/>
      </c>
      <c r="G173" s="9">
        <f>IF($D173="","",YEAR($D173))</f>
        <v/>
      </c>
      <c r="H173" s="9">
        <f>IF($D173="","",ROUNDUP(MONTH($D173)/3,0))</f>
        <v/>
      </c>
    </row>
    <row r="174">
      <c r="A174" s="6" t="n"/>
      <c r="B174" s="6" t="n"/>
      <c r="C174" s="8" t="n"/>
      <c r="D174" s="14" t="n"/>
      <c r="E174" s="6" t="n"/>
      <c r="F174" s="6">
        <f>IF($B174="","",IFERROR(VLOOKUP($B174,Agents!$A:$C,3,FALSE),"؟"))</f>
        <v/>
      </c>
      <c r="G174" s="6">
        <f>IF($D174="","",YEAR($D174))</f>
        <v/>
      </c>
      <c r="H174" s="6">
        <f>IF($D174="","",ROUNDUP(MONTH($D174)/3,0))</f>
        <v/>
      </c>
    </row>
    <row r="175">
      <c r="A175" s="9" t="n"/>
      <c r="B175" s="9" t="n"/>
      <c r="C175" s="10" t="n"/>
      <c r="D175" s="16" t="n"/>
      <c r="E175" s="9" t="n"/>
      <c r="F175" s="9">
        <f>IF($B175="","",IFERROR(VLOOKUP($B175,Agents!$A:$C,3,FALSE),"؟"))</f>
        <v/>
      </c>
      <c r="G175" s="9">
        <f>IF($D175="","",YEAR($D175))</f>
        <v/>
      </c>
      <c r="H175" s="9">
        <f>IF($D175="","",ROUNDUP(MONTH($D175)/3,0))</f>
        <v/>
      </c>
    </row>
    <row r="176">
      <c r="A176" s="6" t="n"/>
      <c r="B176" s="6" t="n"/>
      <c r="C176" s="8" t="n"/>
      <c r="D176" s="14" t="n"/>
      <c r="E176" s="6" t="n"/>
      <c r="F176" s="6">
        <f>IF($B176="","",IFERROR(VLOOKUP($B176,Agents!$A:$C,3,FALSE),"؟"))</f>
        <v/>
      </c>
      <c r="G176" s="6">
        <f>IF($D176="","",YEAR($D176))</f>
        <v/>
      </c>
      <c r="H176" s="6">
        <f>IF($D176="","",ROUNDUP(MONTH($D176)/3,0))</f>
        <v/>
      </c>
    </row>
    <row r="177">
      <c r="A177" s="9" t="n"/>
      <c r="B177" s="9" t="n"/>
      <c r="C177" s="10" t="n"/>
      <c r="D177" s="16" t="n"/>
      <c r="E177" s="9" t="n"/>
      <c r="F177" s="9">
        <f>IF($B177="","",IFERROR(VLOOKUP($B177,Agents!$A:$C,3,FALSE),"؟"))</f>
        <v/>
      </c>
      <c r="G177" s="9">
        <f>IF($D177="","",YEAR($D177))</f>
        <v/>
      </c>
      <c r="H177" s="9">
        <f>IF($D177="","",ROUNDUP(MONTH($D177)/3,0))</f>
        <v/>
      </c>
    </row>
    <row r="178">
      <c r="A178" s="6" t="n"/>
      <c r="B178" s="6" t="n"/>
      <c r="C178" s="8" t="n"/>
      <c r="D178" s="14" t="n"/>
      <c r="E178" s="6" t="n"/>
      <c r="F178" s="6">
        <f>IF($B178="","",IFERROR(VLOOKUP($B178,Agents!$A:$C,3,FALSE),"؟"))</f>
        <v/>
      </c>
      <c r="G178" s="6">
        <f>IF($D178="","",YEAR($D178))</f>
        <v/>
      </c>
      <c r="H178" s="6">
        <f>IF($D178="","",ROUNDUP(MONTH($D178)/3,0))</f>
        <v/>
      </c>
    </row>
    <row r="179">
      <c r="A179" s="9" t="n"/>
      <c r="B179" s="9" t="n"/>
      <c r="C179" s="10" t="n"/>
      <c r="D179" s="16" t="n"/>
      <c r="E179" s="9" t="n"/>
      <c r="F179" s="9">
        <f>IF($B179="","",IFERROR(VLOOKUP($B179,Agents!$A:$C,3,FALSE),"؟"))</f>
        <v/>
      </c>
      <c r="G179" s="9">
        <f>IF($D179="","",YEAR($D179))</f>
        <v/>
      </c>
      <c r="H179" s="9">
        <f>IF($D179="","",ROUNDUP(MONTH($D179)/3,0))</f>
        <v/>
      </c>
    </row>
    <row r="180">
      <c r="A180" s="6" t="n"/>
      <c r="B180" s="6" t="n"/>
      <c r="C180" s="8" t="n"/>
      <c r="D180" s="14" t="n"/>
      <c r="E180" s="6" t="n"/>
      <c r="F180" s="6">
        <f>IF($B180="","",IFERROR(VLOOKUP($B180,Agents!$A:$C,3,FALSE),"؟"))</f>
        <v/>
      </c>
      <c r="G180" s="6">
        <f>IF($D180="","",YEAR($D180))</f>
        <v/>
      </c>
      <c r="H180" s="6">
        <f>IF($D180="","",ROUNDUP(MONTH($D180)/3,0))</f>
        <v/>
      </c>
    </row>
    <row r="181">
      <c r="A181" s="9" t="n"/>
      <c r="B181" s="9" t="n"/>
      <c r="C181" s="10" t="n"/>
      <c r="D181" s="16" t="n"/>
      <c r="E181" s="9" t="n"/>
      <c r="F181" s="9">
        <f>IF($B181="","",IFERROR(VLOOKUP($B181,Agents!$A:$C,3,FALSE),"؟"))</f>
        <v/>
      </c>
      <c r="G181" s="9">
        <f>IF($D181="","",YEAR($D181))</f>
        <v/>
      </c>
      <c r="H181" s="9">
        <f>IF($D181="","",ROUNDUP(MONTH($D181)/3,0))</f>
        <v/>
      </c>
    </row>
    <row r="182">
      <c r="A182" s="6" t="n"/>
      <c r="B182" s="6" t="n"/>
      <c r="C182" s="8" t="n"/>
      <c r="D182" s="14" t="n"/>
      <c r="E182" s="6" t="n"/>
      <c r="F182" s="6">
        <f>IF($B182="","",IFERROR(VLOOKUP($B182,Agents!$A:$C,3,FALSE),"؟"))</f>
        <v/>
      </c>
      <c r="G182" s="6">
        <f>IF($D182="","",YEAR($D182))</f>
        <v/>
      </c>
      <c r="H182" s="6">
        <f>IF($D182="","",ROUNDUP(MONTH($D182)/3,0))</f>
        <v/>
      </c>
    </row>
    <row r="183">
      <c r="A183" s="9" t="n"/>
      <c r="B183" s="9" t="n"/>
      <c r="C183" s="10" t="n"/>
      <c r="D183" s="16" t="n"/>
      <c r="E183" s="9" t="n"/>
      <c r="F183" s="9">
        <f>IF($B183="","",IFERROR(VLOOKUP($B183,Agents!$A:$C,3,FALSE),"؟"))</f>
        <v/>
      </c>
      <c r="G183" s="9">
        <f>IF($D183="","",YEAR($D183))</f>
        <v/>
      </c>
      <c r="H183" s="9">
        <f>IF($D183="","",ROUNDUP(MONTH($D183)/3,0))</f>
        <v/>
      </c>
    </row>
    <row r="184">
      <c r="A184" s="6" t="n"/>
      <c r="B184" s="6" t="n"/>
      <c r="C184" s="8" t="n"/>
      <c r="D184" s="14" t="n"/>
      <c r="E184" s="6" t="n"/>
      <c r="F184" s="6">
        <f>IF($B184="","",IFERROR(VLOOKUP($B184,Agents!$A:$C,3,FALSE),"؟"))</f>
        <v/>
      </c>
      <c r="G184" s="6">
        <f>IF($D184="","",YEAR($D184))</f>
        <v/>
      </c>
      <c r="H184" s="6">
        <f>IF($D184="","",ROUNDUP(MONTH($D184)/3,0))</f>
        <v/>
      </c>
    </row>
    <row r="185">
      <c r="A185" s="9" t="n"/>
      <c r="B185" s="9" t="n"/>
      <c r="C185" s="10" t="n"/>
      <c r="D185" s="16" t="n"/>
      <c r="E185" s="9" t="n"/>
      <c r="F185" s="9">
        <f>IF($B185="","",IFERROR(VLOOKUP($B185,Agents!$A:$C,3,FALSE),"؟"))</f>
        <v/>
      </c>
      <c r="G185" s="9">
        <f>IF($D185="","",YEAR($D185))</f>
        <v/>
      </c>
      <c r="H185" s="9">
        <f>IF($D185="","",ROUNDUP(MONTH($D185)/3,0))</f>
        <v/>
      </c>
    </row>
    <row r="186">
      <c r="A186" s="6" t="n"/>
      <c r="B186" s="6" t="n"/>
      <c r="C186" s="8" t="n"/>
      <c r="D186" s="14" t="n"/>
      <c r="E186" s="6" t="n"/>
      <c r="F186" s="6">
        <f>IF($B186="","",IFERROR(VLOOKUP($B186,Agents!$A:$C,3,FALSE),"؟"))</f>
        <v/>
      </c>
      <c r="G186" s="6">
        <f>IF($D186="","",YEAR($D186))</f>
        <v/>
      </c>
      <c r="H186" s="6">
        <f>IF($D186="","",ROUNDUP(MONTH($D186)/3,0))</f>
        <v/>
      </c>
    </row>
    <row r="187">
      <c r="A187" s="9" t="n"/>
      <c r="B187" s="9" t="n"/>
      <c r="C187" s="10" t="n"/>
      <c r="D187" s="16" t="n"/>
      <c r="E187" s="9" t="n"/>
      <c r="F187" s="9">
        <f>IF($B187="","",IFERROR(VLOOKUP($B187,Agents!$A:$C,3,FALSE),"؟"))</f>
        <v/>
      </c>
      <c r="G187" s="9">
        <f>IF($D187="","",YEAR($D187))</f>
        <v/>
      </c>
      <c r="H187" s="9">
        <f>IF($D187="","",ROUNDUP(MONTH($D187)/3,0))</f>
        <v/>
      </c>
    </row>
    <row r="188">
      <c r="A188" s="6" t="n"/>
      <c r="B188" s="6" t="n"/>
      <c r="C188" s="8" t="n"/>
      <c r="D188" s="14" t="n"/>
      <c r="E188" s="6" t="n"/>
      <c r="F188" s="6">
        <f>IF($B188="","",IFERROR(VLOOKUP($B188,Agents!$A:$C,3,FALSE),"؟"))</f>
        <v/>
      </c>
      <c r="G188" s="6">
        <f>IF($D188="","",YEAR($D188))</f>
        <v/>
      </c>
      <c r="H188" s="6">
        <f>IF($D188="","",ROUNDUP(MONTH($D188)/3,0))</f>
        <v/>
      </c>
    </row>
    <row r="189">
      <c r="A189" s="9" t="n"/>
      <c r="B189" s="9" t="n"/>
      <c r="C189" s="10" t="n"/>
      <c r="D189" s="16" t="n"/>
      <c r="E189" s="9" t="n"/>
      <c r="F189" s="9">
        <f>IF($B189="","",IFERROR(VLOOKUP($B189,Agents!$A:$C,3,FALSE),"؟"))</f>
        <v/>
      </c>
      <c r="G189" s="9">
        <f>IF($D189="","",YEAR($D189))</f>
        <v/>
      </c>
      <c r="H189" s="9">
        <f>IF($D189="","",ROUNDUP(MONTH($D189)/3,0))</f>
        <v/>
      </c>
    </row>
    <row r="190">
      <c r="A190" s="6" t="n"/>
      <c r="B190" s="6" t="n"/>
      <c r="C190" s="8" t="n"/>
      <c r="D190" s="14" t="n"/>
      <c r="E190" s="6" t="n"/>
      <c r="F190" s="6">
        <f>IF($B190="","",IFERROR(VLOOKUP($B190,Agents!$A:$C,3,FALSE),"؟"))</f>
        <v/>
      </c>
      <c r="G190" s="6">
        <f>IF($D190="","",YEAR($D190))</f>
        <v/>
      </c>
      <c r="H190" s="6">
        <f>IF($D190="","",ROUNDUP(MONTH($D190)/3,0))</f>
        <v/>
      </c>
    </row>
    <row r="191">
      <c r="A191" s="9" t="n"/>
      <c r="B191" s="9" t="n"/>
      <c r="C191" s="10" t="n"/>
      <c r="D191" s="16" t="n"/>
      <c r="E191" s="9" t="n"/>
      <c r="F191" s="9">
        <f>IF($B191="","",IFERROR(VLOOKUP($B191,Agents!$A:$C,3,FALSE),"؟"))</f>
        <v/>
      </c>
      <c r="G191" s="9">
        <f>IF($D191="","",YEAR($D191))</f>
        <v/>
      </c>
      <c r="H191" s="9">
        <f>IF($D191="","",ROUNDUP(MONTH($D191)/3,0))</f>
        <v/>
      </c>
    </row>
    <row r="192">
      <c r="A192" s="6" t="n"/>
      <c r="B192" s="6" t="n"/>
      <c r="C192" s="8" t="n"/>
      <c r="D192" s="14" t="n"/>
      <c r="E192" s="6" t="n"/>
      <c r="F192" s="6">
        <f>IF($B192="","",IFERROR(VLOOKUP($B192,Agents!$A:$C,3,FALSE),"؟"))</f>
        <v/>
      </c>
      <c r="G192" s="6">
        <f>IF($D192="","",YEAR($D192))</f>
        <v/>
      </c>
      <c r="H192" s="6">
        <f>IF($D192="","",ROUNDUP(MONTH($D192)/3,0))</f>
        <v/>
      </c>
    </row>
    <row r="193">
      <c r="A193" s="9" t="n"/>
      <c r="B193" s="9" t="n"/>
      <c r="C193" s="10" t="n"/>
      <c r="D193" s="16" t="n"/>
      <c r="E193" s="9" t="n"/>
      <c r="F193" s="9">
        <f>IF($B193="","",IFERROR(VLOOKUP($B193,Agents!$A:$C,3,FALSE),"؟"))</f>
        <v/>
      </c>
      <c r="G193" s="9">
        <f>IF($D193="","",YEAR($D193))</f>
        <v/>
      </c>
      <c r="H193" s="9">
        <f>IF($D193="","",ROUNDUP(MONTH($D193)/3,0))</f>
        <v/>
      </c>
    </row>
    <row r="194">
      <c r="A194" s="6" t="n"/>
      <c r="B194" s="6" t="n"/>
      <c r="C194" s="8" t="n"/>
      <c r="D194" s="14" t="n"/>
      <c r="E194" s="6" t="n"/>
      <c r="F194" s="6">
        <f>IF($B194="","",IFERROR(VLOOKUP($B194,Agents!$A:$C,3,FALSE),"؟"))</f>
        <v/>
      </c>
      <c r="G194" s="6">
        <f>IF($D194="","",YEAR($D194))</f>
        <v/>
      </c>
      <c r="H194" s="6">
        <f>IF($D194="","",ROUNDUP(MONTH($D194)/3,0))</f>
        <v/>
      </c>
    </row>
    <row r="195">
      <c r="A195" s="9" t="n"/>
      <c r="B195" s="9" t="n"/>
      <c r="C195" s="10" t="n"/>
      <c r="D195" s="16" t="n"/>
      <c r="E195" s="9" t="n"/>
      <c r="F195" s="9">
        <f>IF($B195="","",IFERROR(VLOOKUP($B195,Agents!$A:$C,3,FALSE),"؟"))</f>
        <v/>
      </c>
      <c r="G195" s="9">
        <f>IF($D195="","",YEAR($D195))</f>
        <v/>
      </c>
      <c r="H195" s="9">
        <f>IF($D195="","",ROUNDUP(MONTH($D195)/3,0))</f>
        <v/>
      </c>
    </row>
    <row r="196">
      <c r="A196" s="6" t="n"/>
      <c r="B196" s="6" t="n"/>
      <c r="C196" s="8" t="n"/>
      <c r="D196" s="14" t="n"/>
      <c r="E196" s="6" t="n"/>
      <c r="F196" s="6">
        <f>IF($B196="","",IFERROR(VLOOKUP($B196,Agents!$A:$C,3,FALSE),"؟"))</f>
        <v/>
      </c>
      <c r="G196" s="6">
        <f>IF($D196="","",YEAR($D196))</f>
        <v/>
      </c>
      <c r="H196" s="6">
        <f>IF($D196="","",ROUNDUP(MONTH($D196)/3,0))</f>
        <v/>
      </c>
    </row>
    <row r="197">
      <c r="A197" s="9" t="n"/>
      <c r="B197" s="9" t="n"/>
      <c r="C197" s="10" t="n"/>
      <c r="D197" s="16" t="n"/>
      <c r="E197" s="9" t="n"/>
      <c r="F197" s="9">
        <f>IF($B197="","",IFERROR(VLOOKUP($B197,Agents!$A:$C,3,FALSE),"؟"))</f>
        <v/>
      </c>
      <c r="G197" s="9">
        <f>IF($D197="","",YEAR($D197))</f>
        <v/>
      </c>
      <c r="H197" s="9">
        <f>IF($D197="","",ROUNDUP(MONTH($D197)/3,0))</f>
        <v/>
      </c>
    </row>
    <row r="198">
      <c r="A198" s="6" t="n"/>
      <c r="B198" s="6" t="n"/>
      <c r="C198" s="8" t="n"/>
      <c r="D198" s="14" t="n"/>
      <c r="E198" s="6" t="n"/>
      <c r="F198" s="6">
        <f>IF($B198="","",IFERROR(VLOOKUP($B198,Agents!$A:$C,3,FALSE),"؟"))</f>
        <v/>
      </c>
      <c r="G198" s="6">
        <f>IF($D198="","",YEAR($D198))</f>
        <v/>
      </c>
      <c r="H198" s="6">
        <f>IF($D198="","",ROUNDUP(MONTH($D198)/3,0))</f>
        <v/>
      </c>
    </row>
    <row r="199">
      <c r="A199" s="9" t="n"/>
      <c r="B199" s="9" t="n"/>
      <c r="C199" s="10" t="n"/>
      <c r="D199" s="16" t="n"/>
      <c r="E199" s="9" t="n"/>
      <c r="F199" s="9">
        <f>IF($B199="","",IFERROR(VLOOKUP($B199,Agents!$A:$C,3,FALSE),"؟"))</f>
        <v/>
      </c>
      <c r="G199" s="9">
        <f>IF($D199="","",YEAR($D199))</f>
        <v/>
      </c>
      <c r="H199" s="9">
        <f>IF($D199="","",ROUNDUP(MONTH($D199)/3,0))</f>
        <v/>
      </c>
    </row>
    <row r="200">
      <c r="A200" s="6" t="n"/>
      <c r="B200" s="6" t="n"/>
      <c r="C200" s="8" t="n"/>
      <c r="D200" s="14" t="n"/>
      <c r="E200" s="6" t="n"/>
      <c r="F200" s="6">
        <f>IF($B200="","",IFERROR(VLOOKUP($B200,Agents!$A:$C,3,FALSE),"؟"))</f>
        <v/>
      </c>
      <c r="G200" s="6">
        <f>IF($D200="","",YEAR($D200))</f>
        <v/>
      </c>
      <c r="H200" s="6">
        <f>IF($D200="","",ROUNDUP(MONTH($D200)/3,0))</f>
        <v/>
      </c>
    </row>
    <row r="201">
      <c r="A201" s="9" t="n"/>
      <c r="B201" s="9" t="n"/>
      <c r="C201" s="10" t="n"/>
      <c r="D201" s="16" t="n"/>
      <c r="E201" s="9" t="n"/>
      <c r="F201" s="9">
        <f>IF($B201="","",IFERROR(VLOOKUP($B201,Agents!$A:$C,3,FALSE),"؟"))</f>
        <v/>
      </c>
      <c r="G201" s="9">
        <f>IF($D201="","",YEAR($D201))</f>
        <v/>
      </c>
      <c r="H201" s="9">
        <f>IF($D201="","",ROUNDUP(MONTH($D201)/3,0))</f>
        <v/>
      </c>
    </row>
    <row r="202">
      <c r="A202" s="6" t="n"/>
      <c r="B202" s="6" t="n"/>
      <c r="C202" s="8" t="n"/>
      <c r="D202" s="14" t="n"/>
      <c r="E202" s="6" t="n"/>
      <c r="F202" s="6">
        <f>IF($B202="","",IFERROR(VLOOKUP($B202,Agents!$A:$C,3,FALSE),"؟"))</f>
        <v/>
      </c>
      <c r="G202" s="6">
        <f>IF($D202="","",YEAR($D202))</f>
        <v/>
      </c>
      <c r="H202" s="6">
        <f>IF($D202="","",ROUNDUP(MONTH($D202)/3,0))</f>
        <v/>
      </c>
    </row>
    <row r="203">
      <c r="A203" s="9" t="n"/>
      <c r="B203" s="9" t="n"/>
      <c r="C203" s="10" t="n"/>
      <c r="D203" s="16" t="n"/>
      <c r="E203" s="9" t="n"/>
      <c r="F203" s="9">
        <f>IF($B203="","",IFERROR(VLOOKUP($B203,Agents!$A:$C,3,FALSE),"؟"))</f>
        <v/>
      </c>
      <c r="G203" s="9">
        <f>IF($D203="","",YEAR($D203))</f>
        <v/>
      </c>
      <c r="H203" s="9">
        <f>IF($D203="","",ROUNDUP(MONTH($D203)/3,0))</f>
        <v/>
      </c>
    </row>
    <row r="204">
      <c r="A204" s="6" t="n"/>
      <c r="B204" s="6" t="n"/>
      <c r="C204" s="8" t="n"/>
      <c r="D204" s="14" t="n"/>
      <c r="E204" s="6" t="n"/>
      <c r="F204" s="6">
        <f>IF($B204="","",IFERROR(VLOOKUP($B204,Agents!$A:$C,3,FALSE),"؟"))</f>
        <v/>
      </c>
      <c r="G204" s="6">
        <f>IF($D204="","",YEAR($D204))</f>
        <v/>
      </c>
      <c r="H204" s="6">
        <f>IF($D204="","",ROUNDUP(MONTH($D204)/3,0))</f>
        <v/>
      </c>
    </row>
    <row r="205">
      <c r="A205" s="9" t="n"/>
      <c r="B205" s="9" t="n"/>
      <c r="C205" s="10" t="n"/>
      <c r="D205" s="16" t="n"/>
      <c r="E205" s="9" t="n"/>
      <c r="F205" s="9">
        <f>IF($B205="","",IFERROR(VLOOKUP($B205,Agents!$A:$C,3,FALSE),"؟"))</f>
        <v/>
      </c>
      <c r="G205" s="9">
        <f>IF($D205="","",YEAR($D205))</f>
        <v/>
      </c>
      <c r="H205" s="9">
        <f>IF($D205="","",ROUNDUP(MONTH($D205)/3,0))</f>
        <v/>
      </c>
    </row>
    <row r="206">
      <c r="A206" s="6" t="n"/>
      <c r="B206" s="6" t="n"/>
      <c r="C206" s="8" t="n"/>
      <c r="D206" s="14" t="n"/>
      <c r="E206" s="6" t="n"/>
      <c r="F206" s="6">
        <f>IF($B206="","",IFERROR(VLOOKUP($B206,Agents!$A:$C,3,FALSE),"؟"))</f>
        <v/>
      </c>
      <c r="G206" s="6">
        <f>IF($D206="","",YEAR($D206))</f>
        <v/>
      </c>
      <c r="H206" s="6">
        <f>IF($D206="","",ROUNDUP(MONTH($D206)/3,0))</f>
        <v/>
      </c>
    </row>
    <row r="207">
      <c r="A207" s="9" t="n"/>
      <c r="B207" s="9" t="n"/>
      <c r="C207" s="10" t="n"/>
      <c r="D207" s="16" t="n"/>
      <c r="E207" s="9" t="n"/>
      <c r="F207" s="9">
        <f>IF($B207="","",IFERROR(VLOOKUP($B207,Agents!$A:$C,3,FALSE),"؟"))</f>
        <v/>
      </c>
      <c r="G207" s="9">
        <f>IF($D207="","",YEAR($D207))</f>
        <v/>
      </c>
      <c r="H207" s="9">
        <f>IF($D207="","",ROUNDUP(MONTH($D207)/3,0))</f>
        <v/>
      </c>
    </row>
    <row r="208">
      <c r="A208" s="6" t="n"/>
      <c r="B208" s="6" t="n"/>
      <c r="C208" s="8" t="n"/>
      <c r="D208" s="14" t="n"/>
      <c r="E208" s="6" t="n"/>
      <c r="F208" s="6">
        <f>IF($B208="","",IFERROR(VLOOKUP($B208,Agents!$A:$C,3,FALSE),"؟"))</f>
        <v/>
      </c>
      <c r="G208" s="6">
        <f>IF($D208="","",YEAR($D208))</f>
        <v/>
      </c>
      <c r="H208" s="6">
        <f>IF($D208="","",ROUNDUP(MONTH($D208)/3,0))</f>
        <v/>
      </c>
    </row>
    <row r="209">
      <c r="A209" s="9" t="n"/>
      <c r="B209" s="9" t="n"/>
      <c r="C209" s="10" t="n"/>
      <c r="D209" s="16" t="n"/>
      <c r="E209" s="9" t="n"/>
      <c r="F209" s="9">
        <f>IF($B209="","",IFERROR(VLOOKUP($B209,Agents!$A:$C,3,FALSE),"؟"))</f>
        <v/>
      </c>
      <c r="G209" s="9">
        <f>IF($D209="","",YEAR($D209))</f>
        <v/>
      </c>
      <c r="H209" s="9">
        <f>IF($D209="","",ROUNDUP(MONTH($D209)/3,0))</f>
        <v/>
      </c>
    </row>
    <row r="210">
      <c r="A210" s="6" t="n"/>
      <c r="B210" s="6" t="n"/>
      <c r="C210" s="8" t="n"/>
      <c r="D210" s="14" t="n"/>
      <c r="E210" s="6" t="n"/>
      <c r="F210" s="6">
        <f>IF($B210="","",IFERROR(VLOOKUP($B210,Agents!$A:$C,3,FALSE),"؟"))</f>
        <v/>
      </c>
      <c r="G210" s="6">
        <f>IF($D210="","",YEAR($D210))</f>
        <v/>
      </c>
      <c r="H210" s="6">
        <f>IF($D210="","",ROUNDUP(MONTH($D210)/3,0))</f>
        <v/>
      </c>
    </row>
    <row r="211">
      <c r="A211" s="9" t="n"/>
      <c r="B211" s="9" t="n"/>
      <c r="C211" s="10" t="n"/>
      <c r="D211" s="16" t="n"/>
      <c r="E211" s="9" t="n"/>
      <c r="F211" s="9">
        <f>IF($B211="","",IFERROR(VLOOKUP($B211,Agents!$A:$C,3,FALSE),"؟"))</f>
        <v/>
      </c>
      <c r="G211" s="9">
        <f>IF($D211="","",YEAR($D211))</f>
        <v/>
      </c>
      <c r="H211" s="9">
        <f>IF($D211="","",ROUNDUP(MONTH($D211)/3,0))</f>
        <v/>
      </c>
    </row>
    <row r="212">
      <c r="A212" s="6" t="n"/>
      <c r="B212" s="6" t="n"/>
      <c r="C212" s="8" t="n"/>
      <c r="D212" s="14" t="n"/>
      <c r="E212" s="6" t="n"/>
      <c r="F212" s="6">
        <f>IF($B212="","",IFERROR(VLOOKUP($B212,Agents!$A:$C,3,FALSE),"؟"))</f>
        <v/>
      </c>
      <c r="G212" s="6">
        <f>IF($D212="","",YEAR($D212))</f>
        <v/>
      </c>
      <c r="H212" s="6">
        <f>IF($D212="","",ROUNDUP(MONTH($D212)/3,0))</f>
        <v/>
      </c>
    </row>
    <row r="213">
      <c r="A213" s="9" t="n"/>
      <c r="B213" s="9" t="n"/>
      <c r="C213" s="10" t="n"/>
      <c r="D213" s="16" t="n"/>
      <c r="E213" s="9" t="n"/>
      <c r="F213" s="9">
        <f>IF($B213="","",IFERROR(VLOOKUP($B213,Agents!$A:$C,3,FALSE),"؟"))</f>
        <v/>
      </c>
      <c r="G213" s="9">
        <f>IF($D213="","",YEAR($D213))</f>
        <v/>
      </c>
      <c r="H213" s="9">
        <f>IF($D213="","",ROUNDUP(MONTH($D213)/3,0))</f>
        <v/>
      </c>
    </row>
    <row r="214">
      <c r="A214" s="6" t="n"/>
      <c r="B214" s="6" t="n"/>
      <c r="C214" s="8" t="n"/>
      <c r="D214" s="14" t="n"/>
      <c r="E214" s="6" t="n"/>
      <c r="F214" s="6">
        <f>IF($B214="","",IFERROR(VLOOKUP($B214,Agents!$A:$C,3,FALSE),"؟"))</f>
        <v/>
      </c>
      <c r="G214" s="6">
        <f>IF($D214="","",YEAR($D214))</f>
        <v/>
      </c>
      <c r="H214" s="6">
        <f>IF($D214="","",ROUNDUP(MONTH($D214)/3,0))</f>
        <v/>
      </c>
    </row>
    <row r="215">
      <c r="A215" s="9" t="n"/>
      <c r="B215" s="9" t="n"/>
      <c r="C215" s="10" t="n"/>
      <c r="D215" s="16" t="n"/>
      <c r="E215" s="9" t="n"/>
      <c r="F215" s="9">
        <f>IF($B215="","",IFERROR(VLOOKUP($B215,Agents!$A:$C,3,FALSE),"؟"))</f>
        <v/>
      </c>
      <c r="G215" s="9">
        <f>IF($D215="","",YEAR($D215))</f>
        <v/>
      </c>
      <c r="H215" s="9">
        <f>IF($D215="","",ROUNDUP(MONTH($D215)/3,0))</f>
        <v/>
      </c>
    </row>
    <row r="216">
      <c r="A216" s="6" t="n"/>
      <c r="B216" s="6" t="n"/>
      <c r="C216" s="8" t="n"/>
      <c r="D216" s="14" t="n"/>
      <c r="E216" s="6" t="n"/>
      <c r="F216" s="6">
        <f>IF($B216="","",IFERROR(VLOOKUP($B216,Agents!$A:$C,3,FALSE),"؟"))</f>
        <v/>
      </c>
      <c r="G216" s="6">
        <f>IF($D216="","",YEAR($D216))</f>
        <v/>
      </c>
      <c r="H216" s="6">
        <f>IF($D216="","",ROUNDUP(MONTH($D216)/3,0))</f>
        <v/>
      </c>
    </row>
    <row r="217">
      <c r="A217" s="9" t="n"/>
      <c r="B217" s="9" t="n"/>
      <c r="C217" s="10" t="n"/>
      <c r="D217" s="16" t="n"/>
      <c r="E217" s="9" t="n"/>
      <c r="F217" s="9">
        <f>IF($B217="","",IFERROR(VLOOKUP($B217,Agents!$A:$C,3,FALSE),"؟"))</f>
        <v/>
      </c>
      <c r="G217" s="9">
        <f>IF($D217="","",YEAR($D217))</f>
        <v/>
      </c>
      <c r="H217" s="9">
        <f>IF($D217="","",ROUNDUP(MONTH($D217)/3,0))</f>
        <v/>
      </c>
    </row>
    <row r="218">
      <c r="A218" s="6" t="n"/>
      <c r="B218" s="6" t="n"/>
      <c r="C218" s="8" t="n"/>
      <c r="D218" s="14" t="n"/>
      <c r="E218" s="6" t="n"/>
      <c r="F218" s="6">
        <f>IF($B218="","",IFERROR(VLOOKUP($B218,Agents!$A:$C,3,FALSE),"؟"))</f>
        <v/>
      </c>
      <c r="G218" s="6">
        <f>IF($D218="","",YEAR($D218))</f>
        <v/>
      </c>
      <c r="H218" s="6">
        <f>IF($D218="","",ROUNDUP(MONTH($D218)/3,0))</f>
        <v/>
      </c>
    </row>
    <row r="219">
      <c r="A219" s="9" t="n"/>
      <c r="B219" s="9" t="n"/>
      <c r="C219" s="10" t="n"/>
      <c r="D219" s="16" t="n"/>
      <c r="E219" s="9" t="n"/>
      <c r="F219" s="9">
        <f>IF($B219="","",IFERROR(VLOOKUP($B219,Agents!$A:$C,3,FALSE),"؟"))</f>
        <v/>
      </c>
      <c r="G219" s="9">
        <f>IF($D219="","",YEAR($D219))</f>
        <v/>
      </c>
      <c r="H219" s="9">
        <f>IF($D219="","",ROUNDUP(MONTH($D219)/3,0))</f>
        <v/>
      </c>
    </row>
    <row r="220">
      <c r="A220" s="6" t="n"/>
      <c r="B220" s="6" t="n"/>
      <c r="C220" s="8" t="n"/>
      <c r="D220" s="14" t="n"/>
      <c r="E220" s="6" t="n"/>
      <c r="F220" s="6">
        <f>IF($B220="","",IFERROR(VLOOKUP($B220,Agents!$A:$C,3,FALSE),"؟"))</f>
        <v/>
      </c>
      <c r="G220" s="6">
        <f>IF($D220="","",YEAR($D220))</f>
        <v/>
      </c>
      <c r="H220" s="6">
        <f>IF($D220="","",ROUNDUP(MONTH($D220)/3,0))</f>
        <v/>
      </c>
    </row>
    <row r="221">
      <c r="A221" s="9" t="n"/>
      <c r="B221" s="9" t="n"/>
      <c r="C221" s="10" t="n"/>
      <c r="D221" s="16" t="n"/>
      <c r="E221" s="9" t="n"/>
      <c r="F221" s="9">
        <f>IF($B221="","",IFERROR(VLOOKUP($B221,Agents!$A:$C,3,FALSE),"؟"))</f>
        <v/>
      </c>
      <c r="G221" s="9">
        <f>IF($D221="","",YEAR($D221))</f>
        <v/>
      </c>
      <c r="H221" s="9">
        <f>IF($D221="","",ROUNDUP(MONTH($D221)/3,0))</f>
        <v/>
      </c>
    </row>
    <row r="222">
      <c r="A222" s="6" t="n"/>
      <c r="B222" s="6" t="n"/>
      <c r="C222" s="8" t="n"/>
      <c r="D222" s="14" t="n"/>
      <c r="E222" s="6" t="n"/>
      <c r="F222" s="6">
        <f>IF($B222="","",IFERROR(VLOOKUP($B222,Agents!$A:$C,3,FALSE),"؟"))</f>
        <v/>
      </c>
      <c r="G222" s="6">
        <f>IF($D222="","",YEAR($D222))</f>
        <v/>
      </c>
      <c r="H222" s="6">
        <f>IF($D222="","",ROUNDUP(MONTH($D222)/3,0))</f>
        <v/>
      </c>
    </row>
    <row r="223">
      <c r="A223" s="9" t="n"/>
      <c r="B223" s="9" t="n"/>
      <c r="C223" s="10" t="n"/>
      <c r="D223" s="16" t="n"/>
      <c r="E223" s="9" t="n"/>
      <c r="F223" s="9">
        <f>IF($B223="","",IFERROR(VLOOKUP($B223,Agents!$A:$C,3,FALSE),"؟"))</f>
        <v/>
      </c>
      <c r="G223" s="9">
        <f>IF($D223="","",YEAR($D223))</f>
        <v/>
      </c>
      <c r="H223" s="9">
        <f>IF($D223="","",ROUNDUP(MONTH($D223)/3,0))</f>
        <v/>
      </c>
    </row>
    <row r="224">
      <c r="A224" s="6" t="n"/>
      <c r="B224" s="6" t="n"/>
      <c r="C224" s="8" t="n"/>
      <c r="D224" s="14" t="n"/>
      <c r="E224" s="6" t="n"/>
      <c r="F224" s="6">
        <f>IF($B224="","",IFERROR(VLOOKUP($B224,Agents!$A:$C,3,FALSE),"؟"))</f>
        <v/>
      </c>
      <c r="G224" s="6">
        <f>IF($D224="","",YEAR($D224))</f>
        <v/>
      </c>
      <c r="H224" s="6">
        <f>IF($D224="","",ROUNDUP(MONTH($D224)/3,0))</f>
        <v/>
      </c>
    </row>
    <row r="225">
      <c r="A225" s="9" t="n"/>
      <c r="B225" s="9" t="n"/>
      <c r="C225" s="10" t="n"/>
      <c r="D225" s="16" t="n"/>
      <c r="E225" s="9" t="n"/>
      <c r="F225" s="9">
        <f>IF($B225="","",IFERROR(VLOOKUP($B225,Agents!$A:$C,3,FALSE),"؟"))</f>
        <v/>
      </c>
      <c r="G225" s="9">
        <f>IF($D225="","",YEAR($D225))</f>
        <v/>
      </c>
      <c r="H225" s="9">
        <f>IF($D225="","",ROUNDUP(MONTH($D225)/3,0))</f>
        <v/>
      </c>
    </row>
    <row r="226">
      <c r="A226" s="6" t="n"/>
      <c r="B226" s="6" t="n"/>
      <c r="C226" s="8" t="n"/>
      <c r="D226" s="14" t="n"/>
      <c r="E226" s="6" t="n"/>
      <c r="F226" s="6">
        <f>IF($B226="","",IFERROR(VLOOKUP($B226,Agents!$A:$C,3,FALSE),"؟"))</f>
        <v/>
      </c>
      <c r="G226" s="6">
        <f>IF($D226="","",YEAR($D226))</f>
        <v/>
      </c>
      <c r="H226" s="6">
        <f>IF($D226="","",ROUNDUP(MONTH($D226)/3,0))</f>
        <v/>
      </c>
    </row>
    <row r="227">
      <c r="A227" s="9" t="n"/>
      <c r="B227" s="9" t="n"/>
      <c r="C227" s="10" t="n"/>
      <c r="D227" s="16" t="n"/>
      <c r="E227" s="9" t="n"/>
      <c r="F227" s="9">
        <f>IF($B227="","",IFERROR(VLOOKUP($B227,Agents!$A:$C,3,FALSE),"؟"))</f>
        <v/>
      </c>
      <c r="G227" s="9">
        <f>IF($D227="","",YEAR($D227))</f>
        <v/>
      </c>
      <c r="H227" s="9">
        <f>IF($D227="","",ROUNDUP(MONTH($D227)/3,0))</f>
        <v/>
      </c>
    </row>
    <row r="228">
      <c r="A228" s="6" t="n"/>
      <c r="B228" s="6" t="n"/>
      <c r="C228" s="8" t="n"/>
      <c r="D228" s="14" t="n"/>
      <c r="E228" s="6" t="n"/>
      <c r="F228" s="6">
        <f>IF($B228="","",IFERROR(VLOOKUP($B228,Agents!$A:$C,3,FALSE),"؟"))</f>
        <v/>
      </c>
      <c r="G228" s="6">
        <f>IF($D228="","",YEAR($D228))</f>
        <v/>
      </c>
      <c r="H228" s="6">
        <f>IF($D228="","",ROUNDUP(MONTH($D228)/3,0))</f>
        <v/>
      </c>
    </row>
    <row r="229">
      <c r="A229" s="9" t="n"/>
      <c r="B229" s="9" t="n"/>
      <c r="C229" s="10" t="n"/>
      <c r="D229" s="16" t="n"/>
      <c r="E229" s="9" t="n"/>
      <c r="F229" s="9">
        <f>IF($B229="","",IFERROR(VLOOKUP($B229,Agents!$A:$C,3,FALSE),"؟"))</f>
        <v/>
      </c>
      <c r="G229" s="9">
        <f>IF($D229="","",YEAR($D229))</f>
        <v/>
      </c>
      <c r="H229" s="9">
        <f>IF($D229="","",ROUNDUP(MONTH($D229)/3,0))</f>
        <v/>
      </c>
    </row>
    <row r="230">
      <c r="A230" s="6" t="n"/>
      <c r="B230" s="6" t="n"/>
      <c r="C230" s="8" t="n"/>
      <c r="D230" s="14" t="n"/>
      <c r="E230" s="6" t="n"/>
      <c r="F230" s="6">
        <f>IF($B230="","",IFERROR(VLOOKUP($B230,Agents!$A:$C,3,FALSE),"؟"))</f>
        <v/>
      </c>
      <c r="G230" s="6">
        <f>IF($D230="","",YEAR($D230))</f>
        <v/>
      </c>
      <c r="H230" s="6">
        <f>IF($D230="","",ROUNDUP(MONTH($D230)/3,0))</f>
        <v/>
      </c>
    </row>
    <row r="231">
      <c r="A231" s="9" t="n"/>
      <c r="B231" s="9" t="n"/>
      <c r="C231" s="10" t="n"/>
      <c r="D231" s="16" t="n"/>
      <c r="E231" s="9" t="n"/>
      <c r="F231" s="9">
        <f>IF($B231="","",IFERROR(VLOOKUP($B231,Agents!$A:$C,3,FALSE),"؟"))</f>
        <v/>
      </c>
      <c r="G231" s="9">
        <f>IF($D231="","",YEAR($D231))</f>
        <v/>
      </c>
      <c r="H231" s="9">
        <f>IF($D231="","",ROUNDUP(MONTH($D231)/3,0))</f>
        <v/>
      </c>
    </row>
    <row r="232">
      <c r="A232" s="6" t="n"/>
      <c r="B232" s="6" t="n"/>
      <c r="C232" s="8" t="n"/>
      <c r="D232" s="14" t="n"/>
      <c r="E232" s="6" t="n"/>
      <c r="F232" s="6">
        <f>IF($B232="","",IFERROR(VLOOKUP($B232,Agents!$A:$C,3,FALSE),"؟"))</f>
        <v/>
      </c>
      <c r="G232" s="6">
        <f>IF($D232="","",YEAR($D232))</f>
        <v/>
      </c>
      <c r="H232" s="6">
        <f>IF($D232="","",ROUNDUP(MONTH($D232)/3,0))</f>
        <v/>
      </c>
    </row>
    <row r="233">
      <c r="A233" s="9" t="n"/>
      <c r="B233" s="9" t="n"/>
      <c r="C233" s="10" t="n"/>
      <c r="D233" s="16" t="n"/>
      <c r="E233" s="9" t="n"/>
      <c r="F233" s="9">
        <f>IF($B233="","",IFERROR(VLOOKUP($B233,Agents!$A:$C,3,FALSE),"؟"))</f>
        <v/>
      </c>
      <c r="G233" s="9">
        <f>IF($D233="","",YEAR($D233))</f>
        <v/>
      </c>
      <c r="H233" s="9">
        <f>IF($D233="","",ROUNDUP(MONTH($D233)/3,0))</f>
        <v/>
      </c>
    </row>
    <row r="234">
      <c r="A234" s="6" t="n"/>
      <c r="B234" s="6" t="n"/>
      <c r="C234" s="8" t="n"/>
      <c r="D234" s="14" t="n"/>
      <c r="E234" s="6" t="n"/>
      <c r="F234" s="6">
        <f>IF($B234="","",IFERROR(VLOOKUP($B234,Agents!$A:$C,3,FALSE),"؟"))</f>
        <v/>
      </c>
      <c r="G234" s="6">
        <f>IF($D234="","",YEAR($D234))</f>
        <v/>
      </c>
      <c r="H234" s="6">
        <f>IF($D234="","",ROUNDUP(MONTH($D234)/3,0))</f>
        <v/>
      </c>
    </row>
    <row r="235">
      <c r="A235" s="9" t="n"/>
      <c r="B235" s="9" t="n"/>
      <c r="C235" s="10" t="n"/>
      <c r="D235" s="16" t="n"/>
      <c r="E235" s="9" t="n"/>
      <c r="F235" s="9">
        <f>IF($B235="","",IFERROR(VLOOKUP($B235,Agents!$A:$C,3,FALSE),"؟"))</f>
        <v/>
      </c>
      <c r="G235" s="9">
        <f>IF($D235="","",YEAR($D235))</f>
        <v/>
      </c>
      <c r="H235" s="9">
        <f>IF($D235="","",ROUNDUP(MONTH($D235)/3,0))</f>
        <v/>
      </c>
    </row>
    <row r="236">
      <c r="A236" s="6" t="n"/>
      <c r="B236" s="6" t="n"/>
      <c r="C236" s="8" t="n"/>
      <c r="D236" s="14" t="n"/>
      <c r="E236" s="6" t="n"/>
      <c r="F236" s="6">
        <f>IF($B236="","",IFERROR(VLOOKUP($B236,Agents!$A:$C,3,FALSE),"؟"))</f>
        <v/>
      </c>
      <c r="G236" s="6">
        <f>IF($D236="","",YEAR($D236))</f>
        <v/>
      </c>
      <c r="H236" s="6">
        <f>IF($D236="","",ROUNDUP(MONTH($D236)/3,0))</f>
        <v/>
      </c>
    </row>
    <row r="237">
      <c r="A237" s="9" t="n"/>
      <c r="B237" s="9" t="n"/>
      <c r="C237" s="10" t="n"/>
      <c r="D237" s="16" t="n"/>
      <c r="E237" s="9" t="n"/>
      <c r="F237" s="9">
        <f>IF($B237="","",IFERROR(VLOOKUP($B237,Agents!$A:$C,3,FALSE),"؟"))</f>
        <v/>
      </c>
      <c r="G237" s="9">
        <f>IF($D237="","",YEAR($D237))</f>
        <v/>
      </c>
      <c r="H237" s="9">
        <f>IF($D237="","",ROUNDUP(MONTH($D237)/3,0))</f>
        <v/>
      </c>
    </row>
    <row r="238">
      <c r="A238" s="6" t="n"/>
      <c r="B238" s="6" t="n"/>
      <c r="C238" s="8" t="n"/>
      <c r="D238" s="14" t="n"/>
      <c r="E238" s="6" t="n"/>
      <c r="F238" s="6">
        <f>IF($B238="","",IFERROR(VLOOKUP($B238,Agents!$A:$C,3,FALSE),"؟"))</f>
        <v/>
      </c>
      <c r="G238" s="6">
        <f>IF($D238="","",YEAR($D238))</f>
        <v/>
      </c>
      <c r="H238" s="6">
        <f>IF($D238="","",ROUNDUP(MONTH($D238)/3,0))</f>
        <v/>
      </c>
    </row>
    <row r="239">
      <c r="A239" s="9" t="n"/>
      <c r="B239" s="9" t="n"/>
      <c r="C239" s="10" t="n"/>
      <c r="D239" s="16" t="n"/>
      <c r="E239" s="9" t="n"/>
      <c r="F239" s="9">
        <f>IF($B239="","",IFERROR(VLOOKUP($B239,Agents!$A:$C,3,FALSE),"؟"))</f>
        <v/>
      </c>
      <c r="G239" s="9">
        <f>IF($D239="","",YEAR($D239))</f>
        <v/>
      </c>
      <c r="H239" s="9">
        <f>IF($D239="","",ROUNDUP(MONTH($D239)/3,0))</f>
        <v/>
      </c>
    </row>
    <row r="240">
      <c r="A240" s="6" t="n"/>
      <c r="B240" s="6" t="n"/>
      <c r="C240" s="8" t="n"/>
      <c r="D240" s="14" t="n"/>
      <c r="E240" s="6" t="n"/>
      <c r="F240" s="6">
        <f>IF($B240="","",IFERROR(VLOOKUP($B240,Agents!$A:$C,3,FALSE),"؟"))</f>
        <v/>
      </c>
      <c r="G240" s="6">
        <f>IF($D240="","",YEAR($D240))</f>
        <v/>
      </c>
      <c r="H240" s="6">
        <f>IF($D240="","",ROUNDUP(MONTH($D240)/3,0))</f>
        <v/>
      </c>
    </row>
    <row r="241">
      <c r="A241" s="9" t="n"/>
      <c r="B241" s="9" t="n"/>
      <c r="C241" s="10" t="n"/>
      <c r="D241" s="16" t="n"/>
      <c r="E241" s="9" t="n"/>
      <c r="F241" s="9">
        <f>IF($B241="","",IFERROR(VLOOKUP($B241,Agents!$A:$C,3,FALSE),"؟"))</f>
        <v/>
      </c>
      <c r="G241" s="9">
        <f>IF($D241="","",YEAR($D241))</f>
        <v/>
      </c>
      <c r="H241" s="9">
        <f>IF($D241="","",ROUNDUP(MONTH($D241)/3,0))</f>
        <v/>
      </c>
    </row>
    <row r="242">
      <c r="A242" s="6" t="n"/>
      <c r="B242" s="6" t="n"/>
      <c r="C242" s="8" t="n"/>
      <c r="D242" s="14" t="n"/>
      <c r="E242" s="6" t="n"/>
      <c r="F242" s="6">
        <f>IF($B242="","",IFERROR(VLOOKUP($B242,Agents!$A:$C,3,FALSE),"؟"))</f>
        <v/>
      </c>
      <c r="G242" s="6">
        <f>IF($D242="","",YEAR($D242))</f>
        <v/>
      </c>
      <c r="H242" s="6">
        <f>IF($D242="","",ROUNDUP(MONTH($D242)/3,0))</f>
        <v/>
      </c>
    </row>
    <row r="243">
      <c r="A243" s="9" t="n"/>
      <c r="B243" s="9" t="n"/>
      <c r="C243" s="10" t="n"/>
      <c r="D243" s="16" t="n"/>
      <c r="E243" s="9" t="n"/>
      <c r="F243" s="9">
        <f>IF($B243="","",IFERROR(VLOOKUP($B243,Agents!$A:$C,3,FALSE),"؟"))</f>
        <v/>
      </c>
      <c r="G243" s="9">
        <f>IF($D243="","",YEAR($D243))</f>
        <v/>
      </c>
      <c r="H243" s="9">
        <f>IF($D243="","",ROUNDUP(MONTH($D243)/3,0))</f>
        <v/>
      </c>
    </row>
    <row r="244">
      <c r="A244" s="6" t="n"/>
      <c r="B244" s="6" t="n"/>
      <c r="C244" s="8" t="n"/>
      <c r="D244" s="14" t="n"/>
      <c r="E244" s="6" t="n"/>
      <c r="F244" s="6">
        <f>IF($B244="","",IFERROR(VLOOKUP($B244,Agents!$A:$C,3,FALSE),"؟"))</f>
        <v/>
      </c>
      <c r="G244" s="6">
        <f>IF($D244="","",YEAR($D244))</f>
        <v/>
      </c>
      <c r="H244" s="6">
        <f>IF($D244="","",ROUNDUP(MONTH($D244)/3,0))</f>
        <v/>
      </c>
    </row>
    <row r="245">
      <c r="A245" s="9" t="n"/>
      <c r="B245" s="9" t="n"/>
      <c r="C245" s="10" t="n"/>
      <c r="D245" s="16" t="n"/>
      <c r="E245" s="9" t="n"/>
      <c r="F245" s="9">
        <f>IF($B245="","",IFERROR(VLOOKUP($B245,Agents!$A:$C,3,FALSE),"؟"))</f>
        <v/>
      </c>
      <c r="G245" s="9">
        <f>IF($D245="","",YEAR($D245))</f>
        <v/>
      </c>
      <c r="H245" s="9">
        <f>IF($D245="","",ROUNDUP(MONTH($D245)/3,0))</f>
        <v/>
      </c>
    </row>
    <row r="246">
      <c r="A246" s="6" t="n"/>
      <c r="B246" s="6" t="n"/>
      <c r="C246" s="8" t="n"/>
      <c r="D246" s="14" t="n"/>
      <c r="E246" s="6" t="n"/>
      <c r="F246" s="6">
        <f>IF($B246="","",IFERROR(VLOOKUP($B246,Agents!$A:$C,3,FALSE),"؟"))</f>
        <v/>
      </c>
      <c r="G246" s="6">
        <f>IF($D246="","",YEAR($D246))</f>
        <v/>
      </c>
      <c r="H246" s="6">
        <f>IF($D246="","",ROUNDUP(MONTH($D246)/3,0))</f>
        <v/>
      </c>
    </row>
    <row r="247">
      <c r="A247" s="9" t="n"/>
      <c r="B247" s="9" t="n"/>
      <c r="C247" s="10" t="n"/>
      <c r="D247" s="16" t="n"/>
      <c r="E247" s="9" t="n"/>
      <c r="F247" s="9">
        <f>IF($B247="","",IFERROR(VLOOKUP($B247,Agents!$A:$C,3,FALSE),"؟"))</f>
        <v/>
      </c>
      <c r="G247" s="9">
        <f>IF($D247="","",YEAR($D247))</f>
        <v/>
      </c>
      <c r="H247" s="9">
        <f>IF($D247="","",ROUNDUP(MONTH($D247)/3,0))</f>
        <v/>
      </c>
    </row>
    <row r="248">
      <c r="A248" s="6" t="n"/>
      <c r="B248" s="6" t="n"/>
      <c r="C248" s="8" t="n"/>
      <c r="D248" s="14" t="n"/>
      <c r="E248" s="6" t="n"/>
      <c r="F248" s="6">
        <f>IF($B248="","",IFERROR(VLOOKUP($B248,Agents!$A:$C,3,FALSE),"؟"))</f>
        <v/>
      </c>
      <c r="G248" s="6">
        <f>IF($D248="","",YEAR($D248))</f>
        <v/>
      </c>
      <c r="H248" s="6">
        <f>IF($D248="","",ROUNDUP(MONTH($D248)/3,0))</f>
        <v/>
      </c>
    </row>
    <row r="249">
      <c r="A249" s="9" t="n"/>
      <c r="B249" s="9" t="n"/>
      <c r="C249" s="10" t="n"/>
      <c r="D249" s="16" t="n"/>
      <c r="E249" s="9" t="n"/>
      <c r="F249" s="9">
        <f>IF($B249="","",IFERROR(VLOOKUP($B249,Agents!$A:$C,3,FALSE),"؟"))</f>
        <v/>
      </c>
      <c r="G249" s="9">
        <f>IF($D249="","",YEAR($D249))</f>
        <v/>
      </c>
      <c r="H249" s="9">
        <f>IF($D249="","",ROUNDUP(MONTH($D249)/3,0))</f>
        <v/>
      </c>
    </row>
    <row r="250">
      <c r="A250" s="6" t="n"/>
      <c r="B250" s="6" t="n"/>
      <c r="C250" s="8" t="n"/>
      <c r="D250" s="14" t="n"/>
      <c r="E250" s="6" t="n"/>
      <c r="F250" s="6">
        <f>IF($B250="","",IFERROR(VLOOKUP($B250,Agents!$A:$C,3,FALSE),"؟"))</f>
        <v/>
      </c>
      <c r="G250" s="6">
        <f>IF($D250="","",YEAR($D250))</f>
        <v/>
      </c>
      <c r="H250" s="6">
        <f>IF($D250="","",ROUNDUP(MONTH($D250)/3,0))</f>
        <v/>
      </c>
    </row>
    <row r="251">
      <c r="A251" s="9" t="n"/>
      <c r="B251" s="9" t="n"/>
      <c r="C251" s="10" t="n"/>
      <c r="D251" s="16" t="n"/>
      <c r="E251" s="9" t="n"/>
      <c r="F251" s="9">
        <f>IF($B251="","",IFERROR(VLOOKUP($B251,Agents!$A:$C,3,FALSE),"؟"))</f>
        <v/>
      </c>
      <c r="G251" s="9">
        <f>IF($D251="","",YEAR($D251))</f>
        <v/>
      </c>
      <c r="H251" s="9">
        <f>IF($D251="","",ROUNDUP(MONTH($D251)/3,0))</f>
        <v/>
      </c>
    </row>
    <row r="252">
      <c r="A252" s="6" t="n"/>
      <c r="B252" s="6" t="n"/>
      <c r="C252" s="8" t="n"/>
      <c r="D252" s="14" t="n"/>
      <c r="E252" s="6" t="n"/>
      <c r="F252" s="6">
        <f>IF($B252="","",IFERROR(VLOOKUP($B252,Agents!$A:$C,3,FALSE),"؟"))</f>
        <v/>
      </c>
      <c r="G252" s="6">
        <f>IF($D252="","",YEAR($D252))</f>
        <v/>
      </c>
      <c r="H252" s="6">
        <f>IF($D252="","",ROUNDUP(MONTH($D252)/3,0))</f>
        <v/>
      </c>
    </row>
    <row r="253">
      <c r="A253" s="9" t="n"/>
      <c r="B253" s="9" t="n"/>
      <c r="C253" s="10" t="n"/>
      <c r="D253" s="16" t="n"/>
      <c r="E253" s="9" t="n"/>
      <c r="F253" s="9">
        <f>IF($B253="","",IFERROR(VLOOKUP($B253,Agents!$A:$C,3,FALSE),"؟"))</f>
        <v/>
      </c>
      <c r="G253" s="9">
        <f>IF($D253="","",YEAR($D253))</f>
        <v/>
      </c>
      <c r="H253" s="9">
        <f>IF($D253="","",ROUNDUP(MONTH($D253)/3,0))</f>
        <v/>
      </c>
    </row>
    <row r="254">
      <c r="A254" s="6" t="n"/>
      <c r="B254" s="6" t="n"/>
      <c r="C254" s="8" t="n"/>
      <c r="D254" s="14" t="n"/>
      <c r="E254" s="6" t="n"/>
      <c r="F254" s="6">
        <f>IF($B254="","",IFERROR(VLOOKUP($B254,Agents!$A:$C,3,FALSE),"؟"))</f>
        <v/>
      </c>
      <c r="G254" s="6">
        <f>IF($D254="","",YEAR($D254))</f>
        <v/>
      </c>
      <c r="H254" s="6">
        <f>IF($D254="","",ROUNDUP(MONTH($D254)/3,0))</f>
        <v/>
      </c>
    </row>
    <row r="255">
      <c r="A255" s="9" t="n"/>
      <c r="B255" s="9" t="n"/>
      <c r="C255" s="10" t="n"/>
      <c r="D255" s="16" t="n"/>
      <c r="E255" s="9" t="n"/>
      <c r="F255" s="9">
        <f>IF($B255="","",IFERROR(VLOOKUP($B255,Agents!$A:$C,3,FALSE),"؟"))</f>
        <v/>
      </c>
      <c r="G255" s="9">
        <f>IF($D255="","",YEAR($D255))</f>
        <v/>
      </c>
      <c r="H255" s="9">
        <f>IF($D255="","",ROUNDUP(MONTH($D255)/3,0))</f>
        <v/>
      </c>
    </row>
    <row r="256">
      <c r="A256" s="6" t="n"/>
      <c r="B256" s="6" t="n"/>
      <c r="C256" s="8" t="n"/>
      <c r="D256" s="14" t="n"/>
      <c r="E256" s="6" t="n"/>
      <c r="F256" s="6">
        <f>IF($B256="","",IFERROR(VLOOKUP($B256,Agents!$A:$C,3,FALSE),"؟"))</f>
        <v/>
      </c>
      <c r="G256" s="6">
        <f>IF($D256="","",YEAR($D256))</f>
        <v/>
      </c>
      <c r="H256" s="6">
        <f>IF($D256="","",ROUNDUP(MONTH($D256)/3,0))</f>
        <v/>
      </c>
    </row>
    <row r="257">
      <c r="A257" s="9" t="n"/>
      <c r="B257" s="9" t="n"/>
      <c r="C257" s="10" t="n"/>
      <c r="D257" s="16" t="n"/>
      <c r="E257" s="9" t="n"/>
      <c r="F257" s="9">
        <f>IF($B257="","",IFERROR(VLOOKUP($B257,Agents!$A:$C,3,FALSE),"؟"))</f>
        <v/>
      </c>
      <c r="G257" s="9">
        <f>IF($D257="","",YEAR($D257))</f>
        <v/>
      </c>
      <c r="H257" s="9">
        <f>IF($D257="","",ROUNDUP(MONTH($D257)/3,0))</f>
        <v/>
      </c>
    </row>
    <row r="258">
      <c r="A258" s="6" t="n"/>
      <c r="B258" s="6" t="n"/>
      <c r="C258" s="8" t="n"/>
      <c r="D258" s="14" t="n"/>
      <c r="E258" s="6" t="n"/>
      <c r="F258" s="6">
        <f>IF($B258="","",IFERROR(VLOOKUP($B258,Agents!$A:$C,3,FALSE),"؟"))</f>
        <v/>
      </c>
      <c r="G258" s="6">
        <f>IF($D258="","",YEAR($D258))</f>
        <v/>
      </c>
      <c r="H258" s="6">
        <f>IF($D258="","",ROUNDUP(MONTH($D258)/3,0))</f>
        <v/>
      </c>
    </row>
    <row r="259">
      <c r="A259" s="9" t="n"/>
      <c r="B259" s="9" t="n"/>
      <c r="C259" s="10" t="n"/>
      <c r="D259" s="16" t="n"/>
      <c r="E259" s="9" t="n"/>
      <c r="F259" s="9">
        <f>IF($B259="","",IFERROR(VLOOKUP($B259,Agents!$A:$C,3,FALSE),"؟"))</f>
        <v/>
      </c>
      <c r="G259" s="9">
        <f>IF($D259="","",YEAR($D259))</f>
        <v/>
      </c>
      <c r="H259" s="9">
        <f>IF($D259="","",ROUNDUP(MONTH($D259)/3,0))</f>
        <v/>
      </c>
    </row>
    <row r="260">
      <c r="A260" s="6" t="n"/>
      <c r="B260" s="6" t="n"/>
      <c r="C260" s="8" t="n"/>
      <c r="D260" s="14" t="n"/>
      <c r="E260" s="6" t="n"/>
      <c r="F260" s="6">
        <f>IF($B260="","",IFERROR(VLOOKUP($B260,Agents!$A:$C,3,FALSE),"؟"))</f>
        <v/>
      </c>
      <c r="G260" s="6">
        <f>IF($D260="","",YEAR($D260))</f>
        <v/>
      </c>
      <c r="H260" s="6">
        <f>IF($D260="","",ROUNDUP(MONTH($D260)/3,0))</f>
        <v/>
      </c>
    </row>
    <row r="261">
      <c r="A261" s="9" t="n"/>
      <c r="B261" s="9" t="n"/>
      <c r="C261" s="10" t="n"/>
      <c r="D261" s="16" t="n"/>
      <c r="E261" s="9" t="n"/>
      <c r="F261" s="9">
        <f>IF($B261="","",IFERROR(VLOOKUP($B261,Agents!$A:$C,3,FALSE),"؟"))</f>
        <v/>
      </c>
      <c r="G261" s="9">
        <f>IF($D261="","",YEAR($D261))</f>
        <v/>
      </c>
      <c r="H261" s="9">
        <f>IF($D261="","",ROUNDUP(MONTH($D261)/3,0))</f>
        <v/>
      </c>
    </row>
    <row r="262">
      <c r="A262" s="6" t="n"/>
      <c r="B262" s="6" t="n"/>
      <c r="C262" s="8" t="n"/>
      <c r="D262" s="14" t="n"/>
      <c r="E262" s="6" t="n"/>
      <c r="F262" s="6">
        <f>IF($B262="","",IFERROR(VLOOKUP($B262,Agents!$A:$C,3,FALSE),"؟"))</f>
        <v/>
      </c>
      <c r="G262" s="6">
        <f>IF($D262="","",YEAR($D262))</f>
        <v/>
      </c>
      <c r="H262" s="6">
        <f>IF($D262="","",ROUNDUP(MONTH($D262)/3,0))</f>
        <v/>
      </c>
    </row>
    <row r="263">
      <c r="A263" s="9" t="n"/>
      <c r="B263" s="9" t="n"/>
      <c r="C263" s="10" t="n"/>
      <c r="D263" s="16" t="n"/>
      <c r="E263" s="9" t="n"/>
      <c r="F263" s="9">
        <f>IF($B263="","",IFERROR(VLOOKUP($B263,Agents!$A:$C,3,FALSE),"؟"))</f>
        <v/>
      </c>
      <c r="G263" s="9">
        <f>IF($D263="","",YEAR($D263))</f>
        <v/>
      </c>
      <c r="H263" s="9">
        <f>IF($D263="","",ROUNDUP(MONTH($D263)/3,0))</f>
        <v/>
      </c>
    </row>
    <row r="264">
      <c r="A264" s="6" t="n"/>
      <c r="B264" s="6" t="n"/>
      <c r="C264" s="8" t="n"/>
      <c r="D264" s="14" t="n"/>
      <c r="E264" s="6" t="n"/>
      <c r="F264" s="6">
        <f>IF($B264="","",IFERROR(VLOOKUP($B264,Agents!$A:$C,3,FALSE),"؟"))</f>
        <v/>
      </c>
      <c r="G264" s="6">
        <f>IF($D264="","",YEAR($D264))</f>
        <v/>
      </c>
      <c r="H264" s="6">
        <f>IF($D264="","",ROUNDUP(MONTH($D264)/3,0))</f>
        <v/>
      </c>
    </row>
    <row r="265">
      <c r="A265" s="9" t="n"/>
      <c r="B265" s="9" t="n"/>
      <c r="C265" s="10" t="n"/>
      <c r="D265" s="16" t="n"/>
      <c r="E265" s="9" t="n"/>
      <c r="F265" s="9">
        <f>IF($B265="","",IFERROR(VLOOKUP($B265,Agents!$A:$C,3,FALSE),"؟"))</f>
        <v/>
      </c>
      <c r="G265" s="9">
        <f>IF($D265="","",YEAR($D265))</f>
        <v/>
      </c>
      <c r="H265" s="9">
        <f>IF($D265="","",ROUNDUP(MONTH($D265)/3,0))</f>
        <v/>
      </c>
    </row>
    <row r="266">
      <c r="A266" s="6" t="n"/>
      <c r="B266" s="6" t="n"/>
      <c r="C266" s="8" t="n"/>
      <c r="D266" s="14" t="n"/>
      <c r="E266" s="6" t="n"/>
      <c r="F266" s="6">
        <f>IF($B266="","",IFERROR(VLOOKUP($B266,Agents!$A:$C,3,FALSE),"؟"))</f>
        <v/>
      </c>
      <c r="G266" s="6">
        <f>IF($D266="","",YEAR($D266))</f>
        <v/>
      </c>
      <c r="H266" s="6">
        <f>IF($D266="","",ROUNDUP(MONTH($D266)/3,0))</f>
        <v/>
      </c>
    </row>
    <row r="267">
      <c r="A267" s="9" t="n"/>
      <c r="B267" s="9" t="n"/>
      <c r="C267" s="10" t="n"/>
      <c r="D267" s="16" t="n"/>
      <c r="E267" s="9" t="n"/>
      <c r="F267" s="9">
        <f>IF($B267="","",IFERROR(VLOOKUP($B267,Agents!$A:$C,3,FALSE),"؟"))</f>
        <v/>
      </c>
      <c r="G267" s="9">
        <f>IF($D267="","",YEAR($D267))</f>
        <v/>
      </c>
      <c r="H267" s="9">
        <f>IF($D267="","",ROUNDUP(MONTH($D267)/3,0))</f>
        <v/>
      </c>
    </row>
    <row r="268">
      <c r="A268" s="6" t="n"/>
      <c r="B268" s="6" t="n"/>
      <c r="C268" s="8" t="n"/>
      <c r="D268" s="14" t="n"/>
      <c r="E268" s="6" t="n"/>
      <c r="F268" s="6">
        <f>IF($B268="","",IFERROR(VLOOKUP($B268,Agents!$A:$C,3,FALSE),"؟"))</f>
        <v/>
      </c>
      <c r="G268" s="6">
        <f>IF($D268="","",YEAR($D268))</f>
        <v/>
      </c>
      <c r="H268" s="6">
        <f>IF($D268="","",ROUNDUP(MONTH($D268)/3,0))</f>
        <v/>
      </c>
    </row>
    <row r="269">
      <c r="A269" s="9" t="n"/>
      <c r="B269" s="9" t="n"/>
      <c r="C269" s="10" t="n"/>
      <c r="D269" s="16" t="n"/>
      <c r="E269" s="9" t="n"/>
      <c r="F269" s="9">
        <f>IF($B269="","",IFERROR(VLOOKUP($B269,Agents!$A:$C,3,FALSE),"؟"))</f>
        <v/>
      </c>
      <c r="G269" s="9">
        <f>IF($D269="","",YEAR($D269))</f>
        <v/>
      </c>
      <c r="H269" s="9">
        <f>IF($D269="","",ROUNDUP(MONTH($D269)/3,0))</f>
        <v/>
      </c>
    </row>
    <row r="270">
      <c r="A270" s="6" t="n"/>
      <c r="B270" s="6" t="n"/>
      <c r="C270" s="8" t="n"/>
      <c r="D270" s="14" t="n"/>
      <c r="E270" s="6" t="n"/>
      <c r="F270" s="6">
        <f>IF($B270="","",IFERROR(VLOOKUP($B270,Agents!$A:$C,3,FALSE),"؟"))</f>
        <v/>
      </c>
      <c r="G270" s="6">
        <f>IF($D270="","",YEAR($D270))</f>
        <v/>
      </c>
      <c r="H270" s="6">
        <f>IF($D270="","",ROUNDUP(MONTH($D270)/3,0))</f>
        <v/>
      </c>
    </row>
    <row r="271">
      <c r="A271" s="9" t="n"/>
      <c r="B271" s="9" t="n"/>
      <c r="C271" s="10" t="n"/>
      <c r="D271" s="16" t="n"/>
      <c r="E271" s="9" t="n"/>
      <c r="F271" s="9">
        <f>IF($B271="","",IFERROR(VLOOKUP($B271,Agents!$A:$C,3,FALSE),"؟"))</f>
        <v/>
      </c>
      <c r="G271" s="9">
        <f>IF($D271="","",YEAR($D271))</f>
        <v/>
      </c>
      <c r="H271" s="9">
        <f>IF($D271="","",ROUNDUP(MONTH($D271)/3,0))</f>
        <v/>
      </c>
    </row>
    <row r="272">
      <c r="A272" s="6" t="n"/>
      <c r="B272" s="6" t="n"/>
      <c r="C272" s="8" t="n"/>
      <c r="D272" s="14" t="n"/>
      <c r="E272" s="6" t="n"/>
      <c r="F272" s="6">
        <f>IF($B272="","",IFERROR(VLOOKUP($B272,Agents!$A:$C,3,FALSE),"؟"))</f>
        <v/>
      </c>
      <c r="G272" s="6">
        <f>IF($D272="","",YEAR($D272))</f>
        <v/>
      </c>
      <c r="H272" s="6">
        <f>IF($D272="","",ROUNDUP(MONTH($D272)/3,0))</f>
        <v/>
      </c>
    </row>
    <row r="273">
      <c r="A273" s="9" t="n"/>
      <c r="B273" s="9" t="n"/>
      <c r="C273" s="10" t="n"/>
      <c r="D273" s="16" t="n"/>
      <c r="E273" s="9" t="n"/>
      <c r="F273" s="9">
        <f>IF($B273="","",IFERROR(VLOOKUP($B273,Agents!$A:$C,3,FALSE),"؟"))</f>
        <v/>
      </c>
      <c r="G273" s="9">
        <f>IF($D273="","",YEAR($D273))</f>
        <v/>
      </c>
      <c r="H273" s="9">
        <f>IF($D273="","",ROUNDUP(MONTH($D273)/3,0))</f>
        <v/>
      </c>
    </row>
    <row r="274">
      <c r="A274" s="6" t="n"/>
      <c r="B274" s="6" t="n"/>
      <c r="C274" s="8" t="n"/>
      <c r="D274" s="14" t="n"/>
      <c r="E274" s="6" t="n"/>
      <c r="F274" s="6">
        <f>IF($B274="","",IFERROR(VLOOKUP($B274,Agents!$A:$C,3,FALSE),"؟"))</f>
        <v/>
      </c>
      <c r="G274" s="6">
        <f>IF($D274="","",YEAR($D274))</f>
        <v/>
      </c>
      <c r="H274" s="6">
        <f>IF($D274="","",ROUNDUP(MONTH($D274)/3,0))</f>
        <v/>
      </c>
    </row>
    <row r="275">
      <c r="A275" s="9" t="n"/>
      <c r="B275" s="9" t="n"/>
      <c r="C275" s="10" t="n"/>
      <c r="D275" s="16" t="n"/>
      <c r="E275" s="9" t="n"/>
      <c r="F275" s="9">
        <f>IF($B275="","",IFERROR(VLOOKUP($B275,Agents!$A:$C,3,FALSE),"؟"))</f>
        <v/>
      </c>
      <c r="G275" s="9">
        <f>IF($D275="","",YEAR($D275))</f>
        <v/>
      </c>
      <c r="H275" s="9">
        <f>IF($D275="","",ROUNDUP(MONTH($D275)/3,0))</f>
        <v/>
      </c>
    </row>
    <row r="276">
      <c r="A276" s="6" t="n"/>
      <c r="B276" s="6" t="n"/>
      <c r="C276" s="8" t="n"/>
      <c r="D276" s="14" t="n"/>
      <c r="E276" s="6" t="n"/>
      <c r="F276" s="6">
        <f>IF($B276="","",IFERROR(VLOOKUP($B276,Agents!$A:$C,3,FALSE),"؟"))</f>
        <v/>
      </c>
      <c r="G276" s="6">
        <f>IF($D276="","",YEAR($D276))</f>
        <v/>
      </c>
      <c r="H276" s="6">
        <f>IF($D276="","",ROUNDUP(MONTH($D276)/3,0))</f>
        <v/>
      </c>
    </row>
    <row r="277">
      <c r="A277" s="9" t="n"/>
      <c r="B277" s="9" t="n"/>
      <c r="C277" s="10" t="n"/>
      <c r="D277" s="16" t="n"/>
      <c r="E277" s="9" t="n"/>
      <c r="F277" s="9">
        <f>IF($B277="","",IFERROR(VLOOKUP($B277,Agents!$A:$C,3,FALSE),"؟"))</f>
        <v/>
      </c>
      <c r="G277" s="9">
        <f>IF($D277="","",YEAR($D277))</f>
        <v/>
      </c>
      <c r="H277" s="9">
        <f>IF($D277="","",ROUNDUP(MONTH($D277)/3,0))</f>
        <v/>
      </c>
    </row>
    <row r="278">
      <c r="A278" s="6" t="n"/>
      <c r="B278" s="6" t="n"/>
      <c r="C278" s="8" t="n"/>
      <c r="D278" s="14" t="n"/>
      <c r="E278" s="6" t="n"/>
      <c r="F278" s="6">
        <f>IF($B278="","",IFERROR(VLOOKUP($B278,Agents!$A:$C,3,FALSE),"؟"))</f>
        <v/>
      </c>
      <c r="G278" s="6">
        <f>IF($D278="","",YEAR($D278))</f>
        <v/>
      </c>
      <c r="H278" s="6">
        <f>IF($D278="","",ROUNDUP(MONTH($D278)/3,0))</f>
        <v/>
      </c>
    </row>
    <row r="279">
      <c r="A279" s="9" t="n"/>
      <c r="B279" s="9" t="n"/>
      <c r="C279" s="10" t="n"/>
      <c r="D279" s="16" t="n"/>
      <c r="E279" s="9" t="n"/>
      <c r="F279" s="9">
        <f>IF($B279="","",IFERROR(VLOOKUP($B279,Agents!$A:$C,3,FALSE),"؟"))</f>
        <v/>
      </c>
      <c r="G279" s="9">
        <f>IF($D279="","",YEAR($D279))</f>
        <v/>
      </c>
      <c r="H279" s="9">
        <f>IF($D279="","",ROUNDUP(MONTH($D279)/3,0))</f>
        <v/>
      </c>
    </row>
    <row r="280">
      <c r="A280" s="6" t="n"/>
      <c r="B280" s="6" t="n"/>
      <c r="C280" s="8" t="n"/>
      <c r="D280" s="14" t="n"/>
      <c r="E280" s="6" t="n"/>
      <c r="F280" s="6">
        <f>IF($B280="","",IFERROR(VLOOKUP($B280,Agents!$A:$C,3,FALSE),"؟"))</f>
        <v/>
      </c>
      <c r="G280" s="6">
        <f>IF($D280="","",YEAR($D280))</f>
        <v/>
      </c>
      <c r="H280" s="6">
        <f>IF($D280="","",ROUNDUP(MONTH($D280)/3,0))</f>
        <v/>
      </c>
    </row>
    <row r="281">
      <c r="A281" s="9" t="n"/>
      <c r="B281" s="9" t="n"/>
      <c r="C281" s="10" t="n"/>
      <c r="D281" s="16" t="n"/>
      <c r="E281" s="9" t="n"/>
      <c r="F281" s="9">
        <f>IF($B281="","",IFERROR(VLOOKUP($B281,Agents!$A:$C,3,FALSE),"؟"))</f>
        <v/>
      </c>
      <c r="G281" s="9">
        <f>IF($D281="","",YEAR($D281))</f>
        <v/>
      </c>
      <c r="H281" s="9">
        <f>IF($D281="","",ROUNDUP(MONTH($D281)/3,0))</f>
        <v/>
      </c>
    </row>
    <row r="282">
      <c r="A282" s="6" t="n"/>
      <c r="B282" s="6" t="n"/>
      <c r="C282" s="8" t="n"/>
      <c r="D282" s="14" t="n"/>
      <c r="E282" s="6" t="n"/>
      <c r="F282" s="6">
        <f>IF($B282="","",IFERROR(VLOOKUP($B282,Agents!$A:$C,3,FALSE),"؟"))</f>
        <v/>
      </c>
      <c r="G282" s="6">
        <f>IF($D282="","",YEAR($D282))</f>
        <v/>
      </c>
      <c r="H282" s="6">
        <f>IF($D282="","",ROUNDUP(MONTH($D282)/3,0))</f>
        <v/>
      </c>
    </row>
    <row r="283">
      <c r="A283" s="9" t="n"/>
      <c r="B283" s="9" t="n"/>
      <c r="C283" s="10" t="n"/>
      <c r="D283" s="16" t="n"/>
      <c r="E283" s="9" t="n"/>
      <c r="F283" s="9">
        <f>IF($B283="","",IFERROR(VLOOKUP($B283,Agents!$A:$C,3,FALSE),"؟"))</f>
        <v/>
      </c>
      <c r="G283" s="9">
        <f>IF($D283="","",YEAR($D283))</f>
        <v/>
      </c>
      <c r="H283" s="9">
        <f>IF($D283="","",ROUNDUP(MONTH($D283)/3,0))</f>
        <v/>
      </c>
    </row>
    <row r="284">
      <c r="A284" s="6" t="n"/>
      <c r="B284" s="6" t="n"/>
      <c r="C284" s="8" t="n"/>
      <c r="D284" s="14" t="n"/>
      <c r="E284" s="6" t="n"/>
      <c r="F284" s="6">
        <f>IF($B284="","",IFERROR(VLOOKUP($B284,Agents!$A:$C,3,FALSE),"؟"))</f>
        <v/>
      </c>
      <c r="G284" s="6">
        <f>IF($D284="","",YEAR($D284))</f>
        <v/>
      </c>
      <c r="H284" s="6">
        <f>IF($D284="","",ROUNDUP(MONTH($D284)/3,0))</f>
        <v/>
      </c>
    </row>
    <row r="285">
      <c r="A285" s="9" t="n"/>
      <c r="B285" s="9" t="n"/>
      <c r="C285" s="10" t="n"/>
      <c r="D285" s="16" t="n"/>
      <c r="E285" s="9" t="n"/>
      <c r="F285" s="9">
        <f>IF($B285="","",IFERROR(VLOOKUP($B285,Agents!$A:$C,3,FALSE),"؟"))</f>
        <v/>
      </c>
      <c r="G285" s="9">
        <f>IF($D285="","",YEAR($D285))</f>
        <v/>
      </c>
      <c r="H285" s="9">
        <f>IF($D285="","",ROUNDUP(MONTH($D285)/3,0))</f>
        <v/>
      </c>
    </row>
    <row r="286">
      <c r="A286" s="6" t="n"/>
      <c r="B286" s="6" t="n"/>
      <c r="C286" s="8" t="n"/>
      <c r="D286" s="14" t="n"/>
      <c r="E286" s="6" t="n"/>
      <c r="F286" s="6">
        <f>IF($B286="","",IFERROR(VLOOKUP($B286,Agents!$A:$C,3,FALSE),"؟"))</f>
        <v/>
      </c>
      <c r="G286" s="6">
        <f>IF($D286="","",YEAR($D286))</f>
        <v/>
      </c>
      <c r="H286" s="6">
        <f>IF($D286="","",ROUNDUP(MONTH($D286)/3,0))</f>
        <v/>
      </c>
    </row>
    <row r="287">
      <c r="A287" s="9" t="n"/>
      <c r="B287" s="9" t="n"/>
      <c r="C287" s="10" t="n"/>
      <c r="D287" s="16" t="n"/>
      <c r="E287" s="9" t="n"/>
      <c r="F287" s="9">
        <f>IF($B287="","",IFERROR(VLOOKUP($B287,Agents!$A:$C,3,FALSE),"؟"))</f>
        <v/>
      </c>
      <c r="G287" s="9">
        <f>IF($D287="","",YEAR($D287))</f>
        <v/>
      </c>
      <c r="H287" s="9">
        <f>IF($D287="","",ROUNDUP(MONTH($D287)/3,0))</f>
        <v/>
      </c>
    </row>
    <row r="288">
      <c r="A288" s="6" t="n"/>
      <c r="B288" s="6" t="n"/>
      <c r="C288" s="8" t="n"/>
      <c r="D288" s="14" t="n"/>
      <c r="E288" s="6" t="n"/>
      <c r="F288" s="6">
        <f>IF($B288="","",IFERROR(VLOOKUP($B288,Agents!$A:$C,3,FALSE),"؟"))</f>
        <v/>
      </c>
      <c r="G288" s="6">
        <f>IF($D288="","",YEAR($D288))</f>
        <v/>
      </c>
      <c r="H288" s="6">
        <f>IF($D288="","",ROUNDUP(MONTH($D288)/3,0))</f>
        <v/>
      </c>
    </row>
    <row r="289">
      <c r="A289" s="9" t="n"/>
      <c r="B289" s="9" t="n"/>
      <c r="C289" s="10" t="n"/>
      <c r="D289" s="16" t="n"/>
      <c r="E289" s="9" t="n"/>
      <c r="F289" s="9">
        <f>IF($B289="","",IFERROR(VLOOKUP($B289,Agents!$A:$C,3,FALSE),"؟"))</f>
        <v/>
      </c>
      <c r="G289" s="9">
        <f>IF($D289="","",YEAR($D289))</f>
        <v/>
      </c>
      <c r="H289" s="9">
        <f>IF($D289="","",ROUNDUP(MONTH($D289)/3,0))</f>
        <v/>
      </c>
    </row>
    <row r="290">
      <c r="A290" s="6" t="n"/>
      <c r="B290" s="6" t="n"/>
      <c r="C290" s="8" t="n"/>
      <c r="D290" s="14" t="n"/>
      <c r="E290" s="6" t="n"/>
      <c r="F290" s="6">
        <f>IF($B290="","",IFERROR(VLOOKUP($B290,Agents!$A:$C,3,FALSE),"؟"))</f>
        <v/>
      </c>
      <c r="G290" s="6">
        <f>IF($D290="","",YEAR($D290))</f>
        <v/>
      </c>
      <c r="H290" s="6">
        <f>IF($D290="","",ROUNDUP(MONTH($D290)/3,0))</f>
        <v/>
      </c>
    </row>
    <row r="291">
      <c r="A291" s="9" t="n"/>
      <c r="B291" s="9" t="n"/>
      <c r="C291" s="10" t="n"/>
      <c r="D291" s="16" t="n"/>
      <c r="E291" s="9" t="n"/>
      <c r="F291" s="9">
        <f>IF($B291="","",IFERROR(VLOOKUP($B291,Agents!$A:$C,3,FALSE),"؟"))</f>
        <v/>
      </c>
      <c r="G291" s="9">
        <f>IF($D291="","",YEAR($D291))</f>
        <v/>
      </c>
      <c r="H291" s="9">
        <f>IF($D291="","",ROUNDUP(MONTH($D291)/3,0))</f>
        <v/>
      </c>
    </row>
    <row r="292">
      <c r="A292" s="6" t="n"/>
      <c r="B292" s="6" t="n"/>
      <c r="C292" s="8" t="n"/>
      <c r="D292" s="14" t="n"/>
      <c r="E292" s="6" t="n"/>
      <c r="F292" s="6">
        <f>IF($B292="","",IFERROR(VLOOKUP($B292,Agents!$A:$C,3,FALSE),"؟"))</f>
        <v/>
      </c>
      <c r="G292" s="6">
        <f>IF($D292="","",YEAR($D292))</f>
        <v/>
      </c>
      <c r="H292" s="6">
        <f>IF($D292="","",ROUNDUP(MONTH($D292)/3,0))</f>
        <v/>
      </c>
    </row>
    <row r="293">
      <c r="A293" s="9" t="n"/>
      <c r="B293" s="9" t="n"/>
      <c r="C293" s="10" t="n"/>
      <c r="D293" s="16" t="n"/>
      <c r="E293" s="9" t="n"/>
      <c r="F293" s="9">
        <f>IF($B293="","",IFERROR(VLOOKUP($B293,Agents!$A:$C,3,FALSE),"؟"))</f>
        <v/>
      </c>
      <c r="G293" s="9">
        <f>IF($D293="","",YEAR($D293))</f>
        <v/>
      </c>
      <c r="H293" s="9">
        <f>IF($D293="","",ROUNDUP(MONTH($D293)/3,0))</f>
        <v/>
      </c>
    </row>
    <row r="294">
      <c r="A294" s="6" t="n"/>
      <c r="B294" s="6" t="n"/>
      <c r="C294" s="8" t="n"/>
      <c r="D294" s="14" t="n"/>
      <c r="E294" s="6" t="n"/>
      <c r="F294" s="6">
        <f>IF($B294="","",IFERROR(VLOOKUP($B294,Agents!$A:$C,3,FALSE),"؟"))</f>
        <v/>
      </c>
      <c r="G294" s="6">
        <f>IF($D294="","",YEAR($D294))</f>
        <v/>
      </c>
      <c r="H294" s="6">
        <f>IF($D294="","",ROUNDUP(MONTH($D294)/3,0))</f>
        <v/>
      </c>
    </row>
    <row r="295">
      <c r="A295" s="9" t="n"/>
      <c r="B295" s="9" t="n"/>
      <c r="C295" s="10" t="n"/>
      <c r="D295" s="16" t="n"/>
      <c r="E295" s="9" t="n"/>
      <c r="F295" s="9">
        <f>IF($B295="","",IFERROR(VLOOKUP($B295,Agents!$A:$C,3,FALSE),"؟"))</f>
        <v/>
      </c>
      <c r="G295" s="9">
        <f>IF($D295="","",YEAR($D295))</f>
        <v/>
      </c>
      <c r="H295" s="9">
        <f>IF($D295="","",ROUNDUP(MONTH($D295)/3,0))</f>
        <v/>
      </c>
    </row>
    <row r="296">
      <c r="A296" s="6" t="n"/>
      <c r="B296" s="6" t="n"/>
      <c r="C296" s="8" t="n"/>
      <c r="D296" s="14" t="n"/>
      <c r="E296" s="6" t="n"/>
      <c r="F296" s="6">
        <f>IF($B296="","",IFERROR(VLOOKUP($B296,Agents!$A:$C,3,FALSE),"؟"))</f>
        <v/>
      </c>
      <c r="G296" s="6">
        <f>IF($D296="","",YEAR($D296))</f>
        <v/>
      </c>
      <c r="H296" s="6">
        <f>IF($D296="","",ROUNDUP(MONTH($D296)/3,0))</f>
        <v/>
      </c>
    </row>
    <row r="297">
      <c r="A297" s="9" t="n"/>
      <c r="B297" s="9" t="n"/>
      <c r="C297" s="10" t="n"/>
      <c r="D297" s="16" t="n"/>
      <c r="E297" s="9" t="n"/>
      <c r="F297" s="9">
        <f>IF($B297="","",IFERROR(VLOOKUP($B297,Agents!$A:$C,3,FALSE),"؟"))</f>
        <v/>
      </c>
      <c r="G297" s="9">
        <f>IF($D297="","",YEAR($D297))</f>
        <v/>
      </c>
      <c r="H297" s="9">
        <f>IF($D297="","",ROUNDUP(MONTH($D297)/3,0))</f>
        <v/>
      </c>
    </row>
    <row r="298">
      <c r="A298" s="6" t="n"/>
      <c r="B298" s="6" t="n"/>
      <c r="C298" s="8" t="n"/>
      <c r="D298" s="14" t="n"/>
      <c r="E298" s="6" t="n"/>
      <c r="F298" s="6">
        <f>IF($B298="","",IFERROR(VLOOKUP($B298,Agents!$A:$C,3,FALSE),"؟"))</f>
        <v/>
      </c>
      <c r="G298" s="6">
        <f>IF($D298="","",YEAR($D298))</f>
        <v/>
      </c>
      <c r="H298" s="6">
        <f>IF($D298="","",ROUNDUP(MONTH($D298)/3,0))</f>
        <v/>
      </c>
    </row>
    <row r="299">
      <c r="A299" s="9" t="n"/>
      <c r="B299" s="9" t="n"/>
      <c r="C299" s="10" t="n"/>
      <c r="D299" s="16" t="n"/>
      <c r="E299" s="9" t="n"/>
      <c r="F299" s="9">
        <f>IF($B299="","",IFERROR(VLOOKUP($B299,Agents!$A:$C,3,FALSE),"؟"))</f>
        <v/>
      </c>
      <c r="G299" s="9">
        <f>IF($D299="","",YEAR($D299))</f>
        <v/>
      </c>
      <c r="H299" s="9">
        <f>IF($D299="","",ROUNDUP(MONTH($D299)/3,0))</f>
        <v/>
      </c>
    </row>
    <row r="300">
      <c r="A300" s="6" t="n"/>
      <c r="B300" s="6" t="n"/>
      <c r="C300" s="8" t="n"/>
      <c r="D300" s="14" t="n"/>
      <c r="E300" s="6" t="n"/>
      <c r="F300" s="6">
        <f>IF($B300="","",IFERROR(VLOOKUP($B300,Agents!$A:$C,3,FALSE),"؟"))</f>
        <v/>
      </c>
      <c r="G300" s="6">
        <f>IF($D300="","",YEAR($D300))</f>
        <v/>
      </c>
      <c r="H300" s="6">
        <f>IF($D300="","",ROUNDUP(MONTH($D300)/3,0))</f>
        <v/>
      </c>
    </row>
    <row r="301">
      <c r="A301" s="9" t="n"/>
      <c r="B301" s="9" t="n"/>
      <c r="C301" s="10" t="n"/>
      <c r="D301" s="16" t="n"/>
      <c r="E301" s="9" t="n"/>
      <c r="F301" s="9">
        <f>IF($B301="","",IFERROR(VLOOKUP($B301,Agents!$A:$C,3,FALSE),"؟"))</f>
        <v/>
      </c>
      <c r="G301" s="9">
        <f>IF($D301="","",YEAR($D301))</f>
        <v/>
      </c>
      <c r="H301" s="9">
        <f>IF($D301="","",ROUNDUP(MONTH($D301)/3,0))</f>
        <v/>
      </c>
    </row>
    <row r="302">
      <c r="A302" s="6" t="n"/>
      <c r="B302" s="6" t="n"/>
      <c r="C302" s="8" t="n"/>
      <c r="D302" s="14" t="n"/>
      <c r="E302" s="6" t="n"/>
      <c r="F302" s="6">
        <f>IF($B302="","",IFERROR(VLOOKUP($B302,Agents!$A:$C,3,FALSE),"؟"))</f>
        <v/>
      </c>
      <c r="G302" s="6">
        <f>IF($D302="","",YEAR($D302))</f>
        <v/>
      </c>
      <c r="H302" s="6">
        <f>IF($D302="","",ROUNDUP(MONTH($D302)/3,0))</f>
        <v/>
      </c>
    </row>
    <row r="303">
      <c r="A303" s="9" t="n"/>
      <c r="B303" s="9" t="n"/>
      <c r="C303" s="10" t="n"/>
      <c r="D303" s="16" t="n"/>
      <c r="E303" s="9" t="n"/>
      <c r="F303" s="9">
        <f>IF($B303="","",IFERROR(VLOOKUP($B303,Agents!$A:$C,3,FALSE),"؟"))</f>
        <v/>
      </c>
      <c r="G303" s="9">
        <f>IF($D303="","",YEAR($D303))</f>
        <v/>
      </c>
      <c r="H303" s="9">
        <f>IF($D303="","",ROUNDUP(MONTH($D303)/3,0))</f>
        <v/>
      </c>
    </row>
    <row r="304">
      <c r="A304" s="6" t="n"/>
      <c r="B304" s="6" t="n"/>
      <c r="C304" s="8" t="n"/>
      <c r="D304" s="14" t="n"/>
      <c r="E304" s="6" t="n"/>
      <c r="F304" s="6">
        <f>IF($B304="","",IFERROR(VLOOKUP($B304,Agents!$A:$C,3,FALSE),"؟"))</f>
        <v/>
      </c>
      <c r="G304" s="6">
        <f>IF($D304="","",YEAR($D304))</f>
        <v/>
      </c>
      <c r="H304" s="6">
        <f>IF($D304="","",ROUNDUP(MONTH($D304)/3,0))</f>
        <v/>
      </c>
    </row>
    <row r="305">
      <c r="A305" s="9" t="n"/>
      <c r="B305" s="9" t="n"/>
      <c r="C305" s="10" t="n"/>
      <c r="D305" s="16" t="n"/>
      <c r="E305" s="9" t="n"/>
      <c r="F305" s="9">
        <f>IF($B305="","",IFERROR(VLOOKUP($B305,Agents!$A:$C,3,FALSE),"؟"))</f>
        <v/>
      </c>
      <c r="G305" s="9">
        <f>IF($D305="","",YEAR($D305))</f>
        <v/>
      </c>
      <c r="H305" s="9">
        <f>IF($D305="","",ROUNDUP(MONTH($D305)/3,0))</f>
        <v/>
      </c>
    </row>
    <row r="306">
      <c r="A306" s="6" t="n"/>
      <c r="B306" s="6" t="n"/>
      <c r="C306" s="8" t="n"/>
      <c r="D306" s="14" t="n"/>
      <c r="E306" s="6" t="n"/>
      <c r="F306" s="6">
        <f>IF($B306="","",IFERROR(VLOOKUP($B306,Agents!$A:$C,3,FALSE),"؟"))</f>
        <v/>
      </c>
      <c r="G306" s="6">
        <f>IF($D306="","",YEAR($D306))</f>
        <v/>
      </c>
      <c r="H306" s="6">
        <f>IF($D306="","",ROUNDUP(MONTH($D306)/3,0))</f>
        <v/>
      </c>
    </row>
    <row r="307">
      <c r="A307" s="9" t="n"/>
      <c r="B307" s="9" t="n"/>
      <c r="C307" s="10" t="n"/>
      <c r="D307" s="16" t="n"/>
      <c r="E307" s="9" t="n"/>
      <c r="F307" s="9">
        <f>IF($B307="","",IFERROR(VLOOKUP($B307,Agents!$A:$C,3,FALSE),"؟"))</f>
        <v/>
      </c>
      <c r="G307" s="9">
        <f>IF($D307="","",YEAR($D307))</f>
        <v/>
      </c>
      <c r="H307" s="9">
        <f>IF($D307="","",ROUNDUP(MONTH($D307)/3,0))</f>
        <v/>
      </c>
    </row>
    <row r="308">
      <c r="A308" s="6" t="n"/>
      <c r="B308" s="6" t="n"/>
      <c r="C308" s="8" t="n"/>
      <c r="D308" s="14" t="n"/>
      <c r="E308" s="6" t="n"/>
      <c r="F308" s="6">
        <f>IF($B308="","",IFERROR(VLOOKUP($B308,Agents!$A:$C,3,FALSE),"؟"))</f>
        <v/>
      </c>
      <c r="G308" s="6">
        <f>IF($D308="","",YEAR($D308))</f>
        <v/>
      </c>
      <c r="H308" s="6">
        <f>IF($D308="","",ROUNDUP(MONTH($D308)/3,0))</f>
        <v/>
      </c>
    </row>
    <row r="309">
      <c r="A309" s="9" t="n"/>
      <c r="B309" s="9" t="n"/>
      <c r="C309" s="10" t="n"/>
      <c r="D309" s="16" t="n"/>
      <c r="E309" s="9" t="n"/>
      <c r="F309" s="9">
        <f>IF($B309="","",IFERROR(VLOOKUP($B309,Agents!$A:$C,3,FALSE),"؟"))</f>
        <v/>
      </c>
      <c r="G309" s="9">
        <f>IF($D309="","",YEAR($D309))</f>
        <v/>
      </c>
      <c r="H309" s="9">
        <f>IF($D309="","",ROUNDUP(MONTH($D309)/3,0))</f>
        <v/>
      </c>
    </row>
    <row r="310">
      <c r="A310" s="6" t="n"/>
      <c r="B310" s="6" t="n"/>
      <c r="C310" s="8" t="n"/>
      <c r="D310" s="14" t="n"/>
      <c r="E310" s="6" t="n"/>
      <c r="F310" s="6">
        <f>IF($B310="","",IFERROR(VLOOKUP($B310,Agents!$A:$C,3,FALSE),"؟"))</f>
        <v/>
      </c>
      <c r="G310" s="6">
        <f>IF($D310="","",YEAR($D310))</f>
        <v/>
      </c>
      <c r="H310" s="6">
        <f>IF($D310="","",ROUNDUP(MONTH($D310)/3,0))</f>
        <v/>
      </c>
    </row>
    <row r="311">
      <c r="A311" s="9" t="n"/>
      <c r="B311" s="9" t="n"/>
      <c r="C311" s="10" t="n"/>
      <c r="D311" s="16" t="n"/>
      <c r="E311" s="9" t="n"/>
      <c r="F311" s="9">
        <f>IF($B311="","",IFERROR(VLOOKUP($B311,Agents!$A:$C,3,FALSE),"؟"))</f>
        <v/>
      </c>
      <c r="G311" s="9">
        <f>IF($D311="","",YEAR($D311))</f>
        <v/>
      </c>
      <c r="H311" s="9">
        <f>IF($D311="","",ROUNDUP(MONTH($D311)/3,0))</f>
        <v/>
      </c>
    </row>
    <row r="312">
      <c r="A312" s="6" t="n"/>
      <c r="B312" s="6" t="n"/>
      <c r="C312" s="8" t="n"/>
      <c r="D312" s="14" t="n"/>
      <c r="E312" s="6" t="n"/>
      <c r="F312" s="6">
        <f>IF($B312="","",IFERROR(VLOOKUP($B312,Agents!$A:$C,3,FALSE),"؟"))</f>
        <v/>
      </c>
      <c r="G312" s="6">
        <f>IF($D312="","",YEAR($D312))</f>
        <v/>
      </c>
      <c r="H312" s="6">
        <f>IF($D312="","",ROUNDUP(MONTH($D312)/3,0))</f>
        <v/>
      </c>
    </row>
    <row r="313">
      <c r="A313" s="9" t="n"/>
      <c r="B313" s="9" t="n"/>
      <c r="C313" s="10" t="n"/>
      <c r="D313" s="16" t="n"/>
      <c r="E313" s="9" t="n"/>
      <c r="F313" s="9">
        <f>IF($B313="","",IFERROR(VLOOKUP($B313,Agents!$A:$C,3,FALSE),"؟"))</f>
        <v/>
      </c>
      <c r="G313" s="9">
        <f>IF($D313="","",YEAR($D313))</f>
        <v/>
      </c>
      <c r="H313" s="9">
        <f>IF($D313="","",ROUNDUP(MONTH($D313)/3,0))</f>
        <v/>
      </c>
    </row>
    <row r="314">
      <c r="A314" s="6" t="n"/>
      <c r="B314" s="6" t="n"/>
      <c r="C314" s="8" t="n"/>
      <c r="D314" s="14" t="n"/>
      <c r="E314" s="6" t="n"/>
      <c r="F314" s="6">
        <f>IF($B314="","",IFERROR(VLOOKUP($B314,Agents!$A:$C,3,FALSE),"؟"))</f>
        <v/>
      </c>
      <c r="G314" s="6">
        <f>IF($D314="","",YEAR($D314))</f>
        <v/>
      </c>
      <c r="H314" s="6">
        <f>IF($D314="","",ROUNDUP(MONTH($D314)/3,0))</f>
        <v/>
      </c>
    </row>
    <row r="315">
      <c r="A315" s="9" t="n"/>
      <c r="B315" s="9" t="n"/>
      <c r="C315" s="10" t="n"/>
      <c r="D315" s="16" t="n"/>
      <c r="E315" s="9" t="n"/>
      <c r="F315" s="9">
        <f>IF($B315="","",IFERROR(VLOOKUP($B315,Agents!$A:$C,3,FALSE),"؟"))</f>
        <v/>
      </c>
      <c r="G315" s="9">
        <f>IF($D315="","",YEAR($D315))</f>
        <v/>
      </c>
      <c r="H315" s="9">
        <f>IF($D315="","",ROUNDUP(MONTH($D315)/3,0))</f>
        <v/>
      </c>
    </row>
    <row r="316">
      <c r="A316" s="6" t="n"/>
      <c r="B316" s="6" t="n"/>
      <c r="C316" s="8" t="n"/>
      <c r="D316" s="14" t="n"/>
      <c r="E316" s="6" t="n"/>
      <c r="F316" s="6">
        <f>IF($B316="","",IFERROR(VLOOKUP($B316,Agents!$A:$C,3,FALSE),"؟"))</f>
        <v/>
      </c>
      <c r="G316" s="6">
        <f>IF($D316="","",YEAR($D316))</f>
        <v/>
      </c>
      <c r="H316" s="6">
        <f>IF($D316="","",ROUNDUP(MONTH($D316)/3,0))</f>
        <v/>
      </c>
    </row>
    <row r="317">
      <c r="A317" s="9" t="n"/>
      <c r="B317" s="9" t="n"/>
      <c r="C317" s="10" t="n"/>
      <c r="D317" s="16" t="n"/>
      <c r="E317" s="9" t="n"/>
      <c r="F317" s="9">
        <f>IF($B317="","",IFERROR(VLOOKUP($B317,Agents!$A:$C,3,FALSE),"؟"))</f>
        <v/>
      </c>
      <c r="G317" s="9">
        <f>IF($D317="","",YEAR($D317))</f>
        <v/>
      </c>
      <c r="H317" s="9">
        <f>IF($D317="","",ROUNDUP(MONTH($D317)/3,0))</f>
        <v/>
      </c>
    </row>
    <row r="318">
      <c r="A318" s="6" t="n"/>
      <c r="B318" s="6" t="n"/>
      <c r="C318" s="8" t="n"/>
      <c r="D318" s="14" t="n"/>
      <c r="E318" s="6" t="n"/>
      <c r="F318" s="6">
        <f>IF($B318="","",IFERROR(VLOOKUP($B318,Agents!$A:$C,3,FALSE),"؟"))</f>
        <v/>
      </c>
      <c r="G318" s="6">
        <f>IF($D318="","",YEAR($D318))</f>
        <v/>
      </c>
      <c r="H318" s="6">
        <f>IF($D318="","",ROUNDUP(MONTH($D318)/3,0))</f>
        <v/>
      </c>
    </row>
    <row r="319">
      <c r="A319" s="9" t="n"/>
      <c r="B319" s="9" t="n"/>
      <c r="C319" s="10" t="n"/>
      <c r="D319" s="16" t="n"/>
      <c r="E319" s="9" t="n"/>
      <c r="F319" s="9">
        <f>IF($B319="","",IFERROR(VLOOKUP($B319,Agents!$A:$C,3,FALSE),"؟"))</f>
        <v/>
      </c>
      <c r="G319" s="9">
        <f>IF($D319="","",YEAR($D319))</f>
        <v/>
      </c>
      <c r="H319" s="9">
        <f>IF($D319="","",ROUNDUP(MONTH($D319)/3,0))</f>
        <v/>
      </c>
    </row>
    <row r="320">
      <c r="A320" s="6" t="n"/>
      <c r="B320" s="6" t="n"/>
      <c r="C320" s="8" t="n"/>
      <c r="D320" s="14" t="n"/>
      <c r="E320" s="6" t="n"/>
      <c r="F320" s="6">
        <f>IF($B320="","",IFERROR(VLOOKUP($B320,Agents!$A:$C,3,FALSE),"؟"))</f>
        <v/>
      </c>
      <c r="G320" s="6">
        <f>IF($D320="","",YEAR($D320))</f>
        <v/>
      </c>
      <c r="H320" s="6">
        <f>IF($D320="","",ROUNDUP(MONTH($D320)/3,0))</f>
        <v/>
      </c>
    </row>
    <row r="321">
      <c r="A321" s="9" t="n"/>
      <c r="B321" s="9" t="n"/>
      <c r="C321" s="10" t="n"/>
      <c r="D321" s="16" t="n"/>
      <c r="E321" s="9" t="n"/>
      <c r="F321" s="9">
        <f>IF($B321="","",IFERROR(VLOOKUP($B321,Agents!$A:$C,3,FALSE),"؟"))</f>
        <v/>
      </c>
      <c r="G321" s="9">
        <f>IF($D321="","",YEAR($D321))</f>
        <v/>
      </c>
      <c r="H321" s="9">
        <f>IF($D321="","",ROUNDUP(MONTH($D321)/3,0))</f>
        <v/>
      </c>
    </row>
    <row r="322">
      <c r="A322" s="6" t="n"/>
      <c r="B322" s="6" t="n"/>
      <c r="C322" s="8" t="n"/>
      <c r="D322" s="14" t="n"/>
      <c r="E322" s="6" t="n"/>
      <c r="F322" s="6">
        <f>IF($B322="","",IFERROR(VLOOKUP($B322,Agents!$A:$C,3,FALSE),"؟"))</f>
        <v/>
      </c>
      <c r="G322" s="6">
        <f>IF($D322="","",YEAR($D322))</f>
        <v/>
      </c>
      <c r="H322" s="6">
        <f>IF($D322="","",ROUNDUP(MONTH($D322)/3,0))</f>
        <v/>
      </c>
    </row>
    <row r="323">
      <c r="A323" s="9" t="n"/>
      <c r="B323" s="9" t="n"/>
      <c r="C323" s="10" t="n"/>
      <c r="D323" s="16" t="n"/>
      <c r="E323" s="9" t="n"/>
      <c r="F323" s="9">
        <f>IF($B323="","",IFERROR(VLOOKUP($B323,Agents!$A:$C,3,FALSE),"؟"))</f>
        <v/>
      </c>
      <c r="G323" s="9">
        <f>IF($D323="","",YEAR($D323))</f>
        <v/>
      </c>
      <c r="H323" s="9">
        <f>IF($D323="","",ROUNDUP(MONTH($D323)/3,0))</f>
        <v/>
      </c>
    </row>
    <row r="324">
      <c r="A324" s="6" t="n"/>
      <c r="B324" s="6" t="n"/>
      <c r="C324" s="8" t="n"/>
      <c r="D324" s="14" t="n"/>
      <c r="E324" s="6" t="n"/>
      <c r="F324" s="6">
        <f>IF($B324="","",IFERROR(VLOOKUP($B324,Agents!$A:$C,3,FALSE),"؟"))</f>
        <v/>
      </c>
      <c r="G324" s="6">
        <f>IF($D324="","",YEAR($D324))</f>
        <v/>
      </c>
      <c r="H324" s="6">
        <f>IF($D324="","",ROUNDUP(MONTH($D324)/3,0))</f>
        <v/>
      </c>
    </row>
    <row r="325">
      <c r="A325" s="9" t="n"/>
      <c r="B325" s="9" t="n"/>
      <c r="C325" s="10" t="n"/>
      <c r="D325" s="16" t="n"/>
      <c r="E325" s="9" t="n"/>
      <c r="F325" s="9">
        <f>IF($B325="","",IFERROR(VLOOKUP($B325,Agents!$A:$C,3,FALSE),"؟"))</f>
        <v/>
      </c>
      <c r="G325" s="9">
        <f>IF($D325="","",YEAR($D325))</f>
        <v/>
      </c>
      <c r="H325" s="9">
        <f>IF($D325="","",ROUNDUP(MONTH($D325)/3,0))</f>
        <v/>
      </c>
    </row>
    <row r="326">
      <c r="A326" s="6" t="n"/>
      <c r="B326" s="6" t="n"/>
      <c r="C326" s="8" t="n"/>
      <c r="D326" s="14" t="n"/>
      <c r="E326" s="6" t="n"/>
      <c r="F326" s="6">
        <f>IF($B326="","",IFERROR(VLOOKUP($B326,Agents!$A:$C,3,FALSE),"؟"))</f>
        <v/>
      </c>
      <c r="G326" s="6">
        <f>IF($D326="","",YEAR($D326))</f>
        <v/>
      </c>
      <c r="H326" s="6">
        <f>IF($D326="","",ROUNDUP(MONTH($D326)/3,0))</f>
        <v/>
      </c>
    </row>
    <row r="327">
      <c r="A327" s="9" t="n"/>
      <c r="B327" s="9" t="n"/>
      <c r="C327" s="10" t="n"/>
      <c r="D327" s="16" t="n"/>
      <c r="E327" s="9" t="n"/>
      <c r="F327" s="9">
        <f>IF($B327="","",IFERROR(VLOOKUP($B327,Agents!$A:$C,3,FALSE),"؟"))</f>
        <v/>
      </c>
      <c r="G327" s="9">
        <f>IF($D327="","",YEAR($D327))</f>
        <v/>
      </c>
      <c r="H327" s="9">
        <f>IF($D327="","",ROUNDUP(MONTH($D327)/3,0))</f>
        <v/>
      </c>
    </row>
    <row r="328">
      <c r="A328" s="6" t="n"/>
      <c r="B328" s="6" t="n"/>
      <c r="C328" s="8" t="n"/>
      <c r="D328" s="14" t="n"/>
      <c r="E328" s="6" t="n"/>
      <c r="F328" s="6">
        <f>IF($B328="","",IFERROR(VLOOKUP($B328,Agents!$A:$C,3,FALSE),"؟"))</f>
        <v/>
      </c>
      <c r="G328" s="6">
        <f>IF($D328="","",YEAR($D328))</f>
        <v/>
      </c>
      <c r="H328" s="6">
        <f>IF($D328="","",ROUNDUP(MONTH($D328)/3,0))</f>
        <v/>
      </c>
    </row>
    <row r="329">
      <c r="A329" s="9" t="n"/>
      <c r="B329" s="9" t="n"/>
      <c r="C329" s="10" t="n"/>
      <c r="D329" s="16" t="n"/>
      <c r="E329" s="9" t="n"/>
      <c r="F329" s="9">
        <f>IF($B329="","",IFERROR(VLOOKUP($B329,Agents!$A:$C,3,FALSE),"؟"))</f>
        <v/>
      </c>
      <c r="G329" s="9">
        <f>IF($D329="","",YEAR($D329))</f>
        <v/>
      </c>
      <c r="H329" s="9">
        <f>IF($D329="","",ROUNDUP(MONTH($D329)/3,0))</f>
        <v/>
      </c>
    </row>
    <row r="330">
      <c r="A330" s="6" t="n"/>
      <c r="B330" s="6" t="n"/>
      <c r="C330" s="8" t="n"/>
      <c r="D330" s="14" t="n"/>
      <c r="E330" s="6" t="n"/>
      <c r="F330" s="6">
        <f>IF($B330="","",IFERROR(VLOOKUP($B330,Agents!$A:$C,3,FALSE),"؟"))</f>
        <v/>
      </c>
      <c r="G330" s="6">
        <f>IF($D330="","",YEAR($D330))</f>
        <v/>
      </c>
      <c r="H330" s="6">
        <f>IF($D330="","",ROUNDUP(MONTH($D330)/3,0))</f>
        <v/>
      </c>
    </row>
    <row r="331">
      <c r="A331" s="9" t="n"/>
      <c r="B331" s="9" t="n"/>
      <c r="C331" s="10" t="n"/>
      <c r="D331" s="16" t="n"/>
      <c r="E331" s="9" t="n"/>
      <c r="F331" s="9">
        <f>IF($B331="","",IFERROR(VLOOKUP($B331,Agents!$A:$C,3,FALSE),"؟"))</f>
        <v/>
      </c>
      <c r="G331" s="9">
        <f>IF($D331="","",YEAR($D331))</f>
        <v/>
      </c>
      <c r="H331" s="9">
        <f>IF($D331="","",ROUNDUP(MONTH($D331)/3,0))</f>
        <v/>
      </c>
    </row>
    <row r="332">
      <c r="A332" s="6" t="n"/>
      <c r="B332" s="6" t="n"/>
      <c r="C332" s="8" t="n"/>
      <c r="D332" s="14" t="n"/>
      <c r="E332" s="6" t="n"/>
      <c r="F332" s="6">
        <f>IF($B332="","",IFERROR(VLOOKUP($B332,Agents!$A:$C,3,FALSE),"؟"))</f>
        <v/>
      </c>
      <c r="G332" s="6">
        <f>IF($D332="","",YEAR($D332))</f>
        <v/>
      </c>
      <c r="H332" s="6">
        <f>IF($D332="","",ROUNDUP(MONTH($D332)/3,0))</f>
        <v/>
      </c>
    </row>
    <row r="333">
      <c r="A333" s="9" t="n"/>
      <c r="B333" s="9" t="n"/>
      <c r="C333" s="10" t="n"/>
      <c r="D333" s="16" t="n"/>
      <c r="E333" s="9" t="n"/>
      <c r="F333" s="9">
        <f>IF($B333="","",IFERROR(VLOOKUP($B333,Agents!$A:$C,3,FALSE),"؟"))</f>
        <v/>
      </c>
      <c r="G333" s="9">
        <f>IF($D333="","",YEAR($D333))</f>
        <v/>
      </c>
      <c r="H333" s="9">
        <f>IF($D333="","",ROUNDUP(MONTH($D333)/3,0))</f>
        <v/>
      </c>
    </row>
    <row r="334">
      <c r="A334" s="6" t="n"/>
      <c r="B334" s="6" t="n"/>
      <c r="C334" s="8" t="n"/>
      <c r="D334" s="14" t="n"/>
      <c r="E334" s="6" t="n"/>
      <c r="F334" s="6">
        <f>IF($B334="","",IFERROR(VLOOKUP($B334,Agents!$A:$C,3,FALSE),"؟"))</f>
        <v/>
      </c>
      <c r="G334" s="6">
        <f>IF($D334="","",YEAR($D334))</f>
        <v/>
      </c>
      <c r="H334" s="6">
        <f>IF($D334="","",ROUNDUP(MONTH($D334)/3,0))</f>
        <v/>
      </c>
    </row>
    <row r="335">
      <c r="A335" s="9" t="n"/>
      <c r="B335" s="9" t="n"/>
      <c r="C335" s="10" t="n"/>
      <c r="D335" s="16" t="n"/>
      <c r="E335" s="9" t="n"/>
      <c r="F335" s="9">
        <f>IF($B335="","",IFERROR(VLOOKUP($B335,Agents!$A:$C,3,FALSE),"؟"))</f>
        <v/>
      </c>
      <c r="G335" s="9">
        <f>IF($D335="","",YEAR($D335))</f>
        <v/>
      </c>
      <c r="H335" s="9">
        <f>IF($D335="","",ROUNDUP(MONTH($D335)/3,0))</f>
        <v/>
      </c>
    </row>
    <row r="336">
      <c r="A336" s="6" t="n"/>
      <c r="B336" s="6" t="n"/>
      <c r="C336" s="8" t="n"/>
      <c r="D336" s="14" t="n"/>
      <c r="E336" s="6" t="n"/>
      <c r="F336" s="6">
        <f>IF($B336="","",IFERROR(VLOOKUP($B336,Agents!$A:$C,3,FALSE),"؟"))</f>
        <v/>
      </c>
      <c r="G336" s="6">
        <f>IF($D336="","",YEAR($D336))</f>
        <v/>
      </c>
      <c r="H336" s="6">
        <f>IF($D336="","",ROUNDUP(MONTH($D336)/3,0))</f>
        <v/>
      </c>
    </row>
    <row r="337">
      <c r="A337" s="9" t="n"/>
      <c r="B337" s="9" t="n"/>
      <c r="C337" s="10" t="n"/>
      <c r="D337" s="16" t="n"/>
      <c r="E337" s="9" t="n"/>
      <c r="F337" s="9">
        <f>IF($B337="","",IFERROR(VLOOKUP($B337,Agents!$A:$C,3,FALSE),"؟"))</f>
        <v/>
      </c>
      <c r="G337" s="9">
        <f>IF($D337="","",YEAR($D337))</f>
        <v/>
      </c>
      <c r="H337" s="9">
        <f>IF($D337="","",ROUNDUP(MONTH($D337)/3,0))</f>
        <v/>
      </c>
    </row>
    <row r="338">
      <c r="A338" s="6" t="n"/>
      <c r="B338" s="6" t="n"/>
      <c r="C338" s="8" t="n"/>
      <c r="D338" s="14" t="n"/>
      <c r="E338" s="6" t="n"/>
      <c r="F338" s="6">
        <f>IF($B338="","",IFERROR(VLOOKUP($B338,Agents!$A:$C,3,FALSE),"؟"))</f>
        <v/>
      </c>
      <c r="G338" s="6">
        <f>IF($D338="","",YEAR($D338))</f>
        <v/>
      </c>
      <c r="H338" s="6">
        <f>IF($D338="","",ROUNDUP(MONTH($D338)/3,0))</f>
        <v/>
      </c>
    </row>
    <row r="339">
      <c r="A339" s="9" t="n"/>
      <c r="B339" s="9" t="n"/>
      <c r="C339" s="10" t="n"/>
      <c r="D339" s="16" t="n"/>
      <c r="E339" s="9" t="n"/>
      <c r="F339" s="9">
        <f>IF($B339="","",IFERROR(VLOOKUP($B339,Agents!$A:$C,3,FALSE),"؟"))</f>
        <v/>
      </c>
      <c r="G339" s="9">
        <f>IF($D339="","",YEAR($D339))</f>
        <v/>
      </c>
      <c r="H339" s="9">
        <f>IF($D339="","",ROUNDUP(MONTH($D339)/3,0))</f>
        <v/>
      </c>
    </row>
    <row r="340">
      <c r="A340" s="6" t="n"/>
      <c r="B340" s="6" t="n"/>
      <c r="C340" s="8" t="n"/>
      <c r="D340" s="14" t="n"/>
      <c r="E340" s="6" t="n"/>
      <c r="F340" s="6">
        <f>IF($B340="","",IFERROR(VLOOKUP($B340,Agents!$A:$C,3,FALSE),"؟"))</f>
        <v/>
      </c>
      <c r="G340" s="6">
        <f>IF($D340="","",YEAR($D340))</f>
        <v/>
      </c>
      <c r="H340" s="6">
        <f>IF($D340="","",ROUNDUP(MONTH($D340)/3,0))</f>
        <v/>
      </c>
    </row>
    <row r="341">
      <c r="A341" s="9" t="n"/>
      <c r="B341" s="9" t="n"/>
      <c r="C341" s="10" t="n"/>
      <c r="D341" s="16" t="n"/>
      <c r="E341" s="9" t="n"/>
      <c r="F341" s="9">
        <f>IF($B341="","",IFERROR(VLOOKUP($B341,Agents!$A:$C,3,FALSE),"؟"))</f>
        <v/>
      </c>
      <c r="G341" s="9">
        <f>IF($D341="","",YEAR($D341))</f>
        <v/>
      </c>
      <c r="H341" s="9">
        <f>IF($D341="","",ROUNDUP(MONTH($D341)/3,0))</f>
        <v/>
      </c>
    </row>
    <row r="342">
      <c r="A342" s="6" t="n"/>
      <c r="B342" s="6" t="n"/>
      <c r="C342" s="8" t="n"/>
      <c r="D342" s="14" t="n"/>
      <c r="E342" s="6" t="n"/>
      <c r="F342" s="6">
        <f>IF($B342="","",IFERROR(VLOOKUP($B342,Agents!$A:$C,3,FALSE),"؟"))</f>
        <v/>
      </c>
      <c r="G342" s="6">
        <f>IF($D342="","",YEAR($D342))</f>
        <v/>
      </c>
      <c r="H342" s="6">
        <f>IF($D342="","",ROUNDUP(MONTH($D342)/3,0))</f>
        <v/>
      </c>
    </row>
    <row r="343">
      <c r="A343" s="9" t="n"/>
      <c r="B343" s="9" t="n"/>
      <c r="C343" s="10" t="n"/>
      <c r="D343" s="16" t="n"/>
      <c r="E343" s="9" t="n"/>
      <c r="F343" s="9">
        <f>IF($B343="","",IFERROR(VLOOKUP($B343,Agents!$A:$C,3,FALSE),"؟"))</f>
        <v/>
      </c>
      <c r="G343" s="9">
        <f>IF($D343="","",YEAR($D343))</f>
        <v/>
      </c>
      <c r="H343" s="9">
        <f>IF($D343="","",ROUNDUP(MONTH($D343)/3,0))</f>
        <v/>
      </c>
    </row>
    <row r="344">
      <c r="A344" s="6" t="n"/>
      <c r="B344" s="6" t="n"/>
      <c r="C344" s="8" t="n"/>
      <c r="D344" s="14" t="n"/>
      <c r="E344" s="6" t="n"/>
      <c r="F344" s="6">
        <f>IF($B344="","",IFERROR(VLOOKUP($B344,Agents!$A:$C,3,FALSE),"؟"))</f>
        <v/>
      </c>
      <c r="G344" s="6">
        <f>IF($D344="","",YEAR($D344))</f>
        <v/>
      </c>
      <c r="H344" s="6">
        <f>IF($D344="","",ROUNDUP(MONTH($D344)/3,0))</f>
        <v/>
      </c>
    </row>
    <row r="345">
      <c r="A345" s="9" t="n"/>
      <c r="B345" s="9" t="n"/>
      <c r="C345" s="10" t="n"/>
      <c r="D345" s="16" t="n"/>
      <c r="E345" s="9" t="n"/>
      <c r="F345" s="9">
        <f>IF($B345="","",IFERROR(VLOOKUP($B345,Agents!$A:$C,3,FALSE),"؟"))</f>
        <v/>
      </c>
      <c r="G345" s="9">
        <f>IF($D345="","",YEAR($D345))</f>
        <v/>
      </c>
      <c r="H345" s="9">
        <f>IF($D345="","",ROUNDUP(MONTH($D345)/3,0))</f>
        <v/>
      </c>
    </row>
    <row r="346">
      <c r="A346" s="6" t="n"/>
      <c r="B346" s="6" t="n"/>
      <c r="C346" s="8" t="n"/>
      <c r="D346" s="14" t="n"/>
      <c r="E346" s="6" t="n"/>
      <c r="F346" s="6">
        <f>IF($B346="","",IFERROR(VLOOKUP($B346,Agents!$A:$C,3,FALSE),"؟"))</f>
        <v/>
      </c>
      <c r="G346" s="6">
        <f>IF($D346="","",YEAR($D346))</f>
        <v/>
      </c>
      <c r="H346" s="6">
        <f>IF($D346="","",ROUNDUP(MONTH($D346)/3,0))</f>
        <v/>
      </c>
    </row>
    <row r="347">
      <c r="A347" s="9" t="n"/>
      <c r="B347" s="9" t="n"/>
      <c r="C347" s="10" t="n"/>
      <c r="D347" s="16" t="n"/>
      <c r="E347" s="9" t="n"/>
      <c r="F347" s="9">
        <f>IF($B347="","",IFERROR(VLOOKUP($B347,Agents!$A:$C,3,FALSE),"؟"))</f>
        <v/>
      </c>
      <c r="G347" s="9">
        <f>IF($D347="","",YEAR($D347))</f>
        <v/>
      </c>
      <c r="H347" s="9">
        <f>IF($D347="","",ROUNDUP(MONTH($D347)/3,0))</f>
        <v/>
      </c>
    </row>
    <row r="348">
      <c r="A348" s="6" t="n"/>
      <c r="B348" s="6" t="n"/>
      <c r="C348" s="8" t="n"/>
      <c r="D348" s="14" t="n"/>
      <c r="E348" s="6" t="n"/>
      <c r="F348" s="6">
        <f>IF($B348="","",IFERROR(VLOOKUP($B348,Agents!$A:$C,3,FALSE),"؟"))</f>
        <v/>
      </c>
      <c r="G348" s="6">
        <f>IF($D348="","",YEAR($D348))</f>
        <v/>
      </c>
      <c r="H348" s="6">
        <f>IF($D348="","",ROUNDUP(MONTH($D348)/3,0))</f>
        <v/>
      </c>
    </row>
    <row r="349">
      <c r="A349" s="9" t="n"/>
      <c r="B349" s="9" t="n"/>
      <c r="C349" s="10" t="n"/>
      <c r="D349" s="16" t="n"/>
      <c r="E349" s="9" t="n"/>
      <c r="F349" s="9">
        <f>IF($B349="","",IFERROR(VLOOKUP($B349,Agents!$A:$C,3,FALSE),"؟"))</f>
        <v/>
      </c>
      <c r="G349" s="9">
        <f>IF($D349="","",YEAR($D349))</f>
        <v/>
      </c>
      <c r="H349" s="9">
        <f>IF($D349="","",ROUNDUP(MONTH($D349)/3,0))</f>
        <v/>
      </c>
    </row>
    <row r="350">
      <c r="A350" s="6" t="n"/>
      <c r="B350" s="6" t="n"/>
      <c r="C350" s="8" t="n"/>
      <c r="D350" s="14" t="n"/>
      <c r="E350" s="6" t="n"/>
      <c r="F350" s="6">
        <f>IF($B350="","",IFERROR(VLOOKUP($B350,Agents!$A:$C,3,FALSE),"؟"))</f>
        <v/>
      </c>
      <c r="G350" s="6">
        <f>IF($D350="","",YEAR($D350))</f>
        <v/>
      </c>
      <c r="H350" s="6">
        <f>IF($D350="","",ROUNDUP(MONTH($D350)/3,0))</f>
        <v/>
      </c>
    </row>
    <row r="351">
      <c r="A351" s="9" t="n"/>
      <c r="B351" s="9" t="n"/>
      <c r="C351" s="10" t="n"/>
      <c r="D351" s="16" t="n"/>
      <c r="E351" s="9" t="n"/>
      <c r="F351" s="9">
        <f>IF($B351="","",IFERROR(VLOOKUP($B351,Agents!$A:$C,3,FALSE),"؟"))</f>
        <v/>
      </c>
      <c r="G351" s="9">
        <f>IF($D351="","",YEAR($D351))</f>
        <v/>
      </c>
      <c r="H351" s="9">
        <f>IF($D351="","",ROUNDUP(MONTH($D351)/3,0))</f>
        <v/>
      </c>
    </row>
    <row r="352">
      <c r="A352" s="6" t="n"/>
      <c r="B352" s="6" t="n"/>
      <c r="C352" s="8" t="n"/>
      <c r="D352" s="14" t="n"/>
      <c r="E352" s="6" t="n"/>
      <c r="F352" s="6">
        <f>IF($B352="","",IFERROR(VLOOKUP($B352,Agents!$A:$C,3,FALSE),"؟"))</f>
        <v/>
      </c>
      <c r="G352" s="6">
        <f>IF($D352="","",YEAR($D352))</f>
        <v/>
      </c>
      <c r="H352" s="6">
        <f>IF($D352="","",ROUNDUP(MONTH($D352)/3,0))</f>
        <v/>
      </c>
    </row>
    <row r="353">
      <c r="A353" s="9" t="n"/>
      <c r="B353" s="9" t="n"/>
      <c r="C353" s="10" t="n"/>
      <c r="D353" s="16" t="n"/>
      <c r="E353" s="9" t="n"/>
      <c r="F353" s="9">
        <f>IF($B353="","",IFERROR(VLOOKUP($B353,Agents!$A:$C,3,FALSE),"؟"))</f>
        <v/>
      </c>
      <c r="G353" s="9">
        <f>IF($D353="","",YEAR($D353))</f>
        <v/>
      </c>
      <c r="H353" s="9">
        <f>IF($D353="","",ROUNDUP(MONTH($D353)/3,0))</f>
        <v/>
      </c>
    </row>
    <row r="354">
      <c r="A354" s="6" t="n"/>
      <c r="B354" s="6" t="n"/>
      <c r="C354" s="8" t="n"/>
      <c r="D354" s="14" t="n"/>
      <c r="E354" s="6" t="n"/>
      <c r="F354" s="6">
        <f>IF($B354="","",IFERROR(VLOOKUP($B354,Agents!$A:$C,3,FALSE),"؟"))</f>
        <v/>
      </c>
      <c r="G354" s="6">
        <f>IF($D354="","",YEAR($D354))</f>
        <v/>
      </c>
      <c r="H354" s="6">
        <f>IF($D354="","",ROUNDUP(MONTH($D354)/3,0))</f>
        <v/>
      </c>
    </row>
    <row r="355">
      <c r="A355" s="9" t="n"/>
      <c r="B355" s="9" t="n"/>
      <c r="C355" s="10" t="n"/>
      <c r="D355" s="16" t="n"/>
      <c r="E355" s="9" t="n"/>
      <c r="F355" s="9">
        <f>IF($B355="","",IFERROR(VLOOKUP($B355,Agents!$A:$C,3,FALSE),"؟"))</f>
        <v/>
      </c>
      <c r="G355" s="9">
        <f>IF($D355="","",YEAR($D355))</f>
        <v/>
      </c>
      <c r="H355" s="9">
        <f>IF($D355="","",ROUNDUP(MONTH($D355)/3,0))</f>
        <v/>
      </c>
    </row>
    <row r="356">
      <c r="A356" s="6" t="n"/>
      <c r="B356" s="6" t="n"/>
      <c r="C356" s="8" t="n"/>
      <c r="D356" s="14" t="n"/>
      <c r="E356" s="6" t="n"/>
      <c r="F356" s="6">
        <f>IF($B356="","",IFERROR(VLOOKUP($B356,Agents!$A:$C,3,FALSE),"؟"))</f>
        <v/>
      </c>
      <c r="G356" s="6">
        <f>IF($D356="","",YEAR($D356))</f>
        <v/>
      </c>
      <c r="H356" s="6">
        <f>IF($D356="","",ROUNDUP(MONTH($D356)/3,0))</f>
        <v/>
      </c>
    </row>
    <row r="357">
      <c r="A357" s="9" t="n"/>
      <c r="B357" s="9" t="n"/>
      <c r="C357" s="10" t="n"/>
      <c r="D357" s="16" t="n"/>
      <c r="E357" s="9" t="n"/>
      <c r="F357" s="9">
        <f>IF($B357="","",IFERROR(VLOOKUP($B357,Agents!$A:$C,3,FALSE),"؟"))</f>
        <v/>
      </c>
      <c r="G357" s="9">
        <f>IF($D357="","",YEAR($D357))</f>
        <v/>
      </c>
      <c r="H357" s="9">
        <f>IF($D357="","",ROUNDUP(MONTH($D357)/3,0))</f>
        <v/>
      </c>
    </row>
    <row r="358">
      <c r="A358" s="6" t="n"/>
      <c r="B358" s="6" t="n"/>
      <c r="C358" s="8" t="n"/>
      <c r="D358" s="14" t="n"/>
      <c r="E358" s="6" t="n"/>
      <c r="F358" s="6">
        <f>IF($B358="","",IFERROR(VLOOKUP($B358,Agents!$A:$C,3,FALSE),"؟"))</f>
        <v/>
      </c>
      <c r="G358" s="6">
        <f>IF($D358="","",YEAR($D358))</f>
        <v/>
      </c>
      <c r="H358" s="6">
        <f>IF($D358="","",ROUNDUP(MONTH($D358)/3,0))</f>
        <v/>
      </c>
    </row>
    <row r="359">
      <c r="A359" s="9" t="n"/>
      <c r="B359" s="9" t="n"/>
      <c r="C359" s="10" t="n"/>
      <c r="D359" s="16" t="n"/>
      <c r="E359" s="9" t="n"/>
      <c r="F359" s="9">
        <f>IF($B359="","",IFERROR(VLOOKUP($B359,Agents!$A:$C,3,FALSE),"؟"))</f>
        <v/>
      </c>
      <c r="G359" s="9">
        <f>IF($D359="","",YEAR($D359))</f>
        <v/>
      </c>
      <c r="H359" s="9">
        <f>IF($D359="","",ROUNDUP(MONTH($D359)/3,0))</f>
        <v/>
      </c>
    </row>
    <row r="360">
      <c r="A360" s="6" t="n"/>
      <c r="B360" s="6" t="n"/>
      <c r="C360" s="8" t="n"/>
      <c r="D360" s="14" t="n"/>
      <c r="E360" s="6" t="n"/>
      <c r="F360" s="6">
        <f>IF($B360="","",IFERROR(VLOOKUP($B360,Agents!$A:$C,3,FALSE),"؟"))</f>
        <v/>
      </c>
      <c r="G360" s="6">
        <f>IF($D360="","",YEAR($D360))</f>
        <v/>
      </c>
      <c r="H360" s="6">
        <f>IF($D360="","",ROUNDUP(MONTH($D360)/3,0))</f>
        <v/>
      </c>
    </row>
    <row r="361">
      <c r="A361" s="9" t="n"/>
      <c r="B361" s="9" t="n"/>
      <c r="C361" s="10" t="n"/>
      <c r="D361" s="16" t="n"/>
      <c r="E361" s="9" t="n"/>
      <c r="F361" s="9">
        <f>IF($B361="","",IFERROR(VLOOKUP($B361,Agents!$A:$C,3,FALSE),"؟"))</f>
        <v/>
      </c>
      <c r="G361" s="9">
        <f>IF($D361="","",YEAR($D361))</f>
        <v/>
      </c>
      <c r="H361" s="9">
        <f>IF($D361="","",ROUNDUP(MONTH($D361)/3,0))</f>
        <v/>
      </c>
    </row>
    <row r="362">
      <c r="A362" s="6" t="n"/>
      <c r="B362" s="6" t="n"/>
      <c r="C362" s="8" t="n"/>
      <c r="D362" s="14" t="n"/>
      <c r="E362" s="6" t="n"/>
      <c r="F362" s="6">
        <f>IF($B362="","",IFERROR(VLOOKUP($B362,Agents!$A:$C,3,FALSE),"؟"))</f>
        <v/>
      </c>
      <c r="G362" s="6">
        <f>IF($D362="","",YEAR($D362))</f>
        <v/>
      </c>
      <c r="H362" s="6">
        <f>IF($D362="","",ROUNDUP(MONTH($D362)/3,0))</f>
        <v/>
      </c>
    </row>
    <row r="363">
      <c r="A363" s="9" t="n"/>
      <c r="B363" s="9" t="n"/>
      <c r="C363" s="10" t="n"/>
      <c r="D363" s="16" t="n"/>
      <c r="E363" s="9" t="n"/>
      <c r="F363" s="9">
        <f>IF($B363="","",IFERROR(VLOOKUP($B363,Agents!$A:$C,3,FALSE),"؟"))</f>
        <v/>
      </c>
      <c r="G363" s="9">
        <f>IF($D363="","",YEAR($D363))</f>
        <v/>
      </c>
      <c r="H363" s="9">
        <f>IF($D363="","",ROUNDUP(MONTH($D363)/3,0))</f>
        <v/>
      </c>
    </row>
    <row r="364">
      <c r="A364" s="6" t="n"/>
      <c r="B364" s="6" t="n"/>
      <c r="C364" s="8" t="n"/>
      <c r="D364" s="14" t="n"/>
      <c r="E364" s="6" t="n"/>
      <c r="F364" s="6">
        <f>IF($B364="","",IFERROR(VLOOKUP($B364,Agents!$A:$C,3,FALSE),"؟"))</f>
        <v/>
      </c>
      <c r="G364" s="6">
        <f>IF($D364="","",YEAR($D364))</f>
        <v/>
      </c>
      <c r="H364" s="6">
        <f>IF($D364="","",ROUNDUP(MONTH($D364)/3,0))</f>
        <v/>
      </c>
    </row>
    <row r="365">
      <c r="A365" s="9" t="n"/>
      <c r="B365" s="9" t="n"/>
      <c r="C365" s="10" t="n"/>
      <c r="D365" s="16" t="n"/>
      <c r="E365" s="9" t="n"/>
      <c r="F365" s="9">
        <f>IF($B365="","",IFERROR(VLOOKUP($B365,Agents!$A:$C,3,FALSE),"؟"))</f>
        <v/>
      </c>
      <c r="G365" s="9">
        <f>IF($D365="","",YEAR($D365))</f>
        <v/>
      </c>
      <c r="H365" s="9">
        <f>IF($D365="","",ROUNDUP(MONTH($D365)/3,0))</f>
        <v/>
      </c>
    </row>
    <row r="366">
      <c r="A366" s="6" t="n"/>
      <c r="B366" s="6" t="n"/>
      <c r="C366" s="8" t="n"/>
      <c r="D366" s="14" t="n"/>
      <c r="E366" s="6" t="n"/>
      <c r="F366" s="6">
        <f>IF($B366="","",IFERROR(VLOOKUP($B366,Agents!$A:$C,3,FALSE),"؟"))</f>
        <v/>
      </c>
      <c r="G366" s="6">
        <f>IF($D366="","",YEAR($D366))</f>
        <v/>
      </c>
      <c r="H366" s="6">
        <f>IF($D366="","",ROUNDUP(MONTH($D366)/3,0))</f>
        <v/>
      </c>
    </row>
    <row r="367">
      <c r="A367" s="9" t="n"/>
      <c r="B367" s="9" t="n"/>
      <c r="C367" s="10" t="n"/>
      <c r="D367" s="16" t="n"/>
      <c r="E367" s="9" t="n"/>
      <c r="F367" s="9">
        <f>IF($B367="","",IFERROR(VLOOKUP($B367,Agents!$A:$C,3,FALSE),"؟"))</f>
        <v/>
      </c>
      <c r="G367" s="9">
        <f>IF($D367="","",YEAR($D367))</f>
        <v/>
      </c>
      <c r="H367" s="9">
        <f>IF($D367="","",ROUNDUP(MONTH($D367)/3,0))</f>
        <v/>
      </c>
    </row>
    <row r="368">
      <c r="A368" s="6" t="n"/>
      <c r="B368" s="6" t="n"/>
      <c r="C368" s="8" t="n"/>
      <c r="D368" s="14" t="n"/>
      <c r="E368" s="6" t="n"/>
      <c r="F368" s="6">
        <f>IF($B368="","",IFERROR(VLOOKUP($B368,Agents!$A:$C,3,FALSE),"؟"))</f>
        <v/>
      </c>
      <c r="G368" s="6">
        <f>IF($D368="","",YEAR($D368))</f>
        <v/>
      </c>
      <c r="H368" s="6">
        <f>IF($D368="","",ROUNDUP(MONTH($D368)/3,0))</f>
        <v/>
      </c>
    </row>
    <row r="369">
      <c r="A369" s="9" t="n"/>
      <c r="B369" s="9" t="n"/>
      <c r="C369" s="10" t="n"/>
      <c r="D369" s="16" t="n"/>
      <c r="E369" s="9" t="n"/>
      <c r="F369" s="9">
        <f>IF($B369="","",IFERROR(VLOOKUP($B369,Agents!$A:$C,3,FALSE),"؟"))</f>
        <v/>
      </c>
      <c r="G369" s="9">
        <f>IF($D369="","",YEAR($D369))</f>
        <v/>
      </c>
      <c r="H369" s="9">
        <f>IF($D369="","",ROUNDUP(MONTH($D369)/3,0))</f>
        <v/>
      </c>
    </row>
    <row r="370">
      <c r="A370" s="6" t="n"/>
      <c r="B370" s="6" t="n"/>
      <c r="C370" s="8" t="n"/>
      <c r="D370" s="14" t="n"/>
      <c r="E370" s="6" t="n"/>
      <c r="F370" s="6">
        <f>IF($B370="","",IFERROR(VLOOKUP($B370,Agents!$A:$C,3,FALSE),"؟"))</f>
        <v/>
      </c>
      <c r="G370" s="6">
        <f>IF($D370="","",YEAR($D370))</f>
        <v/>
      </c>
      <c r="H370" s="6">
        <f>IF($D370="","",ROUNDUP(MONTH($D370)/3,0))</f>
        <v/>
      </c>
    </row>
    <row r="371">
      <c r="A371" s="9" t="n"/>
      <c r="B371" s="9" t="n"/>
      <c r="C371" s="10" t="n"/>
      <c r="D371" s="16" t="n"/>
      <c r="E371" s="9" t="n"/>
      <c r="F371" s="9">
        <f>IF($B371="","",IFERROR(VLOOKUP($B371,Agents!$A:$C,3,FALSE),"؟"))</f>
        <v/>
      </c>
      <c r="G371" s="9">
        <f>IF($D371="","",YEAR($D371))</f>
        <v/>
      </c>
      <c r="H371" s="9">
        <f>IF($D371="","",ROUNDUP(MONTH($D371)/3,0))</f>
        <v/>
      </c>
    </row>
    <row r="372">
      <c r="A372" s="6" t="n"/>
      <c r="B372" s="6" t="n"/>
      <c r="C372" s="8" t="n"/>
      <c r="D372" s="14" t="n"/>
      <c r="E372" s="6" t="n"/>
      <c r="F372" s="6">
        <f>IF($B372="","",IFERROR(VLOOKUP($B372,Agents!$A:$C,3,FALSE),"؟"))</f>
        <v/>
      </c>
      <c r="G372" s="6">
        <f>IF($D372="","",YEAR($D372))</f>
        <v/>
      </c>
      <c r="H372" s="6">
        <f>IF($D372="","",ROUNDUP(MONTH($D372)/3,0))</f>
        <v/>
      </c>
    </row>
    <row r="373">
      <c r="A373" s="9" t="n"/>
      <c r="B373" s="9" t="n"/>
      <c r="C373" s="10" t="n"/>
      <c r="D373" s="16" t="n"/>
      <c r="E373" s="9" t="n"/>
      <c r="F373" s="9">
        <f>IF($B373="","",IFERROR(VLOOKUP($B373,Agents!$A:$C,3,FALSE),"؟"))</f>
        <v/>
      </c>
      <c r="G373" s="9">
        <f>IF($D373="","",YEAR($D373))</f>
        <v/>
      </c>
      <c r="H373" s="9">
        <f>IF($D373="","",ROUNDUP(MONTH($D373)/3,0))</f>
        <v/>
      </c>
    </row>
    <row r="374">
      <c r="A374" s="6" t="n"/>
      <c r="B374" s="6" t="n"/>
      <c r="C374" s="8" t="n"/>
      <c r="D374" s="14" t="n"/>
      <c r="E374" s="6" t="n"/>
      <c r="F374" s="6">
        <f>IF($B374="","",IFERROR(VLOOKUP($B374,Agents!$A:$C,3,FALSE),"؟"))</f>
        <v/>
      </c>
      <c r="G374" s="6">
        <f>IF($D374="","",YEAR($D374))</f>
        <v/>
      </c>
      <c r="H374" s="6">
        <f>IF($D374="","",ROUNDUP(MONTH($D374)/3,0))</f>
        <v/>
      </c>
    </row>
    <row r="375">
      <c r="A375" s="9" t="n"/>
      <c r="B375" s="9" t="n"/>
      <c r="C375" s="10" t="n"/>
      <c r="D375" s="16" t="n"/>
      <c r="E375" s="9" t="n"/>
      <c r="F375" s="9">
        <f>IF($B375="","",IFERROR(VLOOKUP($B375,Agents!$A:$C,3,FALSE),"؟"))</f>
        <v/>
      </c>
      <c r="G375" s="9">
        <f>IF($D375="","",YEAR($D375))</f>
        <v/>
      </c>
      <c r="H375" s="9">
        <f>IF($D375="","",ROUNDUP(MONTH($D375)/3,0))</f>
        <v/>
      </c>
    </row>
    <row r="376">
      <c r="A376" s="6" t="n"/>
      <c r="B376" s="6" t="n"/>
      <c r="C376" s="8" t="n"/>
      <c r="D376" s="14" t="n"/>
      <c r="E376" s="6" t="n"/>
      <c r="F376" s="6">
        <f>IF($B376="","",IFERROR(VLOOKUP($B376,Agents!$A:$C,3,FALSE),"؟"))</f>
        <v/>
      </c>
      <c r="G376" s="6">
        <f>IF($D376="","",YEAR($D376))</f>
        <v/>
      </c>
      <c r="H376" s="6">
        <f>IF($D376="","",ROUNDUP(MONTH($D376)/3,0))</f>
        <v/>
      </c>
    </row>
    <row r="377">
      <c r="A377" s="9" t="n"/>
      <c r="B377" s="9" t="n"/>
      <c r="C377" s="10" t="n"/>
      <c r="D377" s="16" t="n"/>
      <c r="E377" s="9" t="n"/>
      <c r="F377" s="9">
        <f>IF($B377="","",IFERROR(VLOOKUP($B377,Agents!$A:$C,3,FALSE),"؟"))</f>
        <v/>
      </c>
      <c r="G377" s="9">
        <f>IF($D377="","",YEAR($D377))</f>
        <v/>
      </c>
      <c r="H377" s="9">
        <f>IF($D377="","",ROUNDUP(MONTH($D377)/3,0))</f>
        <v/>
      </c>
    </row>
    <row r="378">
      <c r="A378" s="6" t="n"/>
      <c r="B378" s="6" t="n"/>
      <c r="C378" s="8" t="n"/>
      <c r="D378" s="14" t="n"/>
      <c r="E378" s="6" t="n"/>
      <c r="F378" s="6">
        <f>IF($B378="","",IFERROR(VLOOKUP($B378,Agents!$A:$C,3,FALSE),"؟"))</f>
        <v/>
      </c>
      <c r="G378" s="6">
        <f>IF($D378="","",YEAR($D378))</f>
        <v/>
      </c>
      <c r="H378" s="6">
        <f>IF($D378="","",ROUNDUP(MONTH($D378)/3,0))</f>
        <v/>
      </c>
    </row>
    <row r="379">
      <c r="A379" s="9" t="n"/>
      <c r="B379" s="9" t="n"/>
      <c r="C379" s="10" t="n"/>
      <c r="D379" s="16" t="n"/>
      <c r="E379" s="9" t="n"/>
      <c r="F379" s="9">
        <f>IF($B379="","",IFERROR(VLOOKUP($B379,Agents!$A:$C,3,FALSE),"؟"))</f>
        <v/>
      </c>
      <c r="G379" s="9">
        <f>IF($D379="","",YEAR($D379))</f>
        <v/>
      </c>
      <c r="H379" s="9">
        <f>IF($D379="","",ROUNDUP(MONTH($D379)/3,0))</f>
        <v/>
      </c>
    </row>
    <row r="380">
      <c r="A380" s="6" t="n"/>
      <c r="B380" s="6" t="n"/>
      <c r="C380" s="8" t="n"/>
      <c r="D380" s="14" t="n"/>
      <c r="E380" s="6" t="n"/>
      <c r="F380" s="6">
        <f>IF($B380="","",IFERROR(VLOOKUP($B380,Agents!$A:$C,3,FALSE),"؟"))</f>
        <v/>
      </c>
      <c r="G380" s="6">
        <f>IF($D380="","",YEAR($D380))</f>
        <v/>
      </c>
      <c r="H380" s="6">
        <f>IF($D380="","",ROUNDUP(MONTH($D380)/3,0))</f>
        <v/>
      </c>
    </row>
    <row r="381">
      <c r="A381" s="9" t="n"/>
      <c r="B381" s="9" t="n"/>
      <c r="C381" s="10" t="n"/>
      <c r="D381" s="16" t="n"/>
      <c r="E381" s="9" t="n"/>
      <c r="F381" s="9">
        <f>IF($B381="","",IFERROR(VLOOKUP($B381,Agents!$A:$C,3,FALSE),"؟"))</f>
        <v/>
      </c>
      <c r="G381" s="9">
        <f>IF($D381="","",YEAR($D381))</f>
        <v/>
      </c>
      <c r="H381" s="9">
        <f>IF($D381="","",ROUNDUP(MONTH($D381)/3,0))</f>
        <v/>
      </c>
    </row>
    <row r="382">
      <c r="A382" s="6" t="n"/>
      <c r="B382" s="6" t="n"/>
      <c r="C382" s="8" t="n"/>
      <c r="D382" s="14" t="n"/>
      <c r="E382" s="6" t="n"/>
      <c r="F382" s="6">
        <f>IF($B382="","",IFERROR(VLOOKUP($B382,Agents!$A:$C,3,FALSE),"؟"))</f>
        <v/>
      </c>
      <c r="G382" s="6">
        <f>IF($D382="","",YEAR($D382))</f>
        <v/>
      </c>
      <c r="H382" s="6">
        <f>IF($D382="","",ROUNDUP(MONTH($D382)/3,0))</f>
        <v/>
      </c>
    </row>
    <row r="383">
      <c r="A383" s="9" t="n"/>
      <c r="B383" s="9" t="n"/>
      <c r="C383" s="10" t="n"/>
      <c r="D383" s="16" t="n"/>
      <c r="E383" s="9" t="n"/>
      <c r="F383" s="9">
        <f>IF($B383="","",IFERROR(VLOOKUP($B383,Agents!$A:$C,3,FALSE),"؟"))</f>
        <v/>
      </c>
      <c r="G383" s="9">
        <f>IF($D383="","",YEAR($D383))</f>
        <v/>
      </c>
      <c r="H383" s="9">
        <f>IF($D383="","",ROUNDUP(MONTH($D383)/3,0))</f>
        <v/>
      </c>
    </row>
    <row r="384">
      <c r="A384" s="6" t="n"/>
      <c r="B384" s="6" t="n"/>
      <c r="C384" s="8" t="n"/>
      <c r="D384" s="14" t="n"/>
      <c r="E384" s="6" t="n"/>
      <c r="F384" s="6">
        <f>IF($B384="","",IFERROR(VLOOKUP($B384,Agents!$A:$C,3,FALSE),"؟"))</f>
        <v/>
      </c>
      <c r="G384" s="6">
        <f>IF($D384="","",YEAR($D384))</f>
        <v/>
      </c>
      <c r="H384" s="6">
        <f>IF($D384="","",ROUNDUP(MONTH($D384)/3,0))</f>
        <v/>
      </c>
    </row>
    <row r="385">
      <c r="A385" s="9" t="n"/>
      <c r="B385" s="9" t="n"/>
      <c r="C385" s="10" t="n"/>
      <c r="D385" s="16" t="n"/>
      <c r="E385" s="9" t="n"/>
      <c r="F385" s="9">
        <f>IF($B385="","",IFERROR(VLOOKUP($B385,Agents!$A:$C,3,FALSE),"؟"))</f>
        <v/>
      </c>
      <c r="G385" s="9">
        <f>IF($D385="","",YEAR($D385))</f>
        <v/>
      </c>
      <c r="H385" s="9">
        <f>IF($D385="","",ROUNDUP(MONTH($D385)/3,0))</f>
        <v/>
      </c>
    </row>
    <row r="386">
      <c r="A386" s="6" t="n"/>
      <c r="B386" s="6" t="n"/>
      <c r="C386" s="8" t="n"/>
      <c r="D386" s="14" t="n"/>
      <c r="E386" s="6" t="n"/>
      <c r="F386" s="6">
        <f>IF($B386="","",IFERROR(VLOOKUP($B386,Agents!$A:$C,3,FALSE),"؟"))</f>
        <v/>
      </c>
      <c r="G386" s="6">
        <f>IF($D386="","",YEAR($D386))</f>
        <v/>
      </c>
      <c r="H386" s="6">
        <f>IF($D386="","",ROUNDUP(MONTH($D386)/3,0))</f>
        <v/>
      </c>
    </row>
    <row r="387">
      <c r="A387" s="9" t="n"/>
      <c r="B387" s="9" t="n"/>
      <c r="C387" s="10" t="n"/>
      <c r="D387" s="16" t="n"/>
      <c r="E387" s="9" t="n"/>
      <c r="F387" s="9">
        <f>IF($B387="","",IFERROR(VLOOKUP($B387,Agents!$A:$C,3,FALSE),"؟"))</f>
        <v/>
      </c>
      <c r="G387" s="9">
        <f>IF($D387="","",YEAR($D387))</f>
        <v/>
      </c>
      <c r="H387" s="9">
        <f>IF($D387="","",ROUNDUP(MONTH($D387)/3,0))</f>
        <v/>
      </c>
    </row>
    <row r="388">
      <c r="A388" s="6" t="n"/>
      <c r="B388" s="6" t="n"/>
      <c r="C388" s="8" t="n"/>
      <c r="D388" s="14" t="n"/>
      <c r="E388" s="6" t="n"/>
      <c r="F388" s="6">
        <f>IF($B388="","",IFERROR(VLOOKUP($B388,Agents!$A:$C,3,FALSE),"؟"))</f>
        <v/>
      </c>
      <c r="G388" s="6">
        <f>IF($D388="","",YEAR($D388))</f>
        <v/>
      </c>
      <c r="H388" s="6">
        <f>IF($D388="","",ROUNDUP(MONTH($D388)/3,0))</f>
        <v/>
      </c>
    </row>
    <row r="389">
      <c r="A389" s="9" t="n"/>
      <c r="B389" s="9" t="n"/>
      <c r="C389" s="10" t="n"/>
      <c r="D389" s="16" t="n"/>
      <c r="E389" s="9" t="n"/>
      <c r="F389" s="9">
        <f>IF($B389="","",IFERROR(VLOOKUP($B389,Agents!$A:$C,3,FALSE),"؟"))</f>
        <v/>
      </c>
      <c r="G389" s="9">
        <f>IF($D389="","",YEAR($D389))</f>
        <v/>
      </c>
      <c r="H389" s="9">
        <f>IF($D389="","",ROUNDUP(MONTH($D389)/3,0))</f>
        <v/>
      </c>
    </row>
    <row r="390">
      <c r="A390" s="6" t="n"/>
      <c r="B390" s="6" t="n"/>
      <c r="C390" s="8" t="n"/>
      <c r="D390" s="14" t="n"/>
      <c r="E390" s="6" t="n"/>
      <c r="F390" s="6">
        <f>IF($B390="","",IFERROR(VLOOKUP($B390,Agents!$A:$C,3,FALSE),"؟"))</f>
        <v/>
      </c>
      <c r="G390" s="6">
        <f>IF($D390="","",YEAR($D390))</f>
        <v/>
      </c>
      <c r="H390" s="6">
        <f>IF($D390="","",ROUNDUP(MONTH($D390)/3,0))</f>
        <v/>
      </c>
    </row>
    <row r="391">
      <c r="A391" s="9" t="n"/>
      <c r="B391" s="9" t="n"/>
      <c r="C391" s="10" t="n"/>
      <c r="D391" s="16" t="n"/>
      <c r="E391" s="9" t="n"/>
      <c r="F391" s="9">
        <f>IF($B391="","",IFERROR(VLOOKUP($B391,Agents!$A:$C,3,FALSE),"؟"))</f>
        <v/>
      </c>
      <c r="G391" s="9">
        <f>IF($D391="","",YEAR($D391))</f>
        <v/>
      </c>
      <c r="H391" s="9">
        <f>IF($D391="","",ROUNDUP(MONTH($D391)/3,0))</f>
        <v/>
      </c>
    </row>
    <row r="392">
      <c r="A392" s="6" t="n"/>
      <c r="B392" s="6" t="n"/>
      <c r="C392" s="8" t="n"/>
      <c r="D392" s="14" t="n"/>
      <c r="E392" s="6" t="n"/>
      <c r="F392" s="6">
        <f>IF($B392="","",IFERROR(VLOOKUP($B392,Agents!$A:$C,3,FALSE),"؟"))</f>
        <v/>
      </c>
      <c r="G392" s="6">
        <f>IF($D392="","",YEAR($D392))</f>
        <v/>
      </c>
      <c r="H392" s="6">
        <f>IF($D392="","",ROUNDUP(MONTH($D392)/3,0))</f>
        <v/>
      </c>
    </row>
    <row r="393">
      <c r="A393" s="9" t="n"/>
      <c r="B393" s="9" t="n"/>
      <c r="C393" s="10" t="n"/>
      <c r="D393" s="16" t="n"/>
      <c r="E393" s="9" t="n"/>
      <c r="F393" s="9">
        <f>IF($B393="","",IFERROR(VLOOKUP($B393,Agents!$A:$C,3,FALSE),"؟"))</f>
        <v/>
      </c>
      <c r="G393" s="9">
        <f>IF($D393="","",YEAR($D393))</f>
        <v/>
      </c>
      <c r="H393" s="9">
        <f>IF($D393="","",ROUNDUP(MONTH($D393)/3,0))</f>
        <v/>
      </c>
    </row>
    <row r="394">
      <c r="A394" s="6" t="n"/>
      <c r="B394" s="6" t="n"/>
      <c r="C394" s="8" t="n"/>
      <c r="D394" s="14" t="n"/>
      <c r="E394" s="6" t="n"/>
      <c r="F394" s="6">
        <f>IF($B394="","",IFERROR(VLOOKUP($B394,Agents!$A:$C,3,FALSE),"؟"))</f>
        <v/>
      </c>
      <c r="G394" s="6">
        <f>IF($D394="","",YEAR($D394))</f>
        <v/>
      </c>
      <c r="H394" s="6">
        <f>IF($D394="","",ROUNDUP(MONTH($D394)/3,0))</f>
        <v/>
      </c>
    </row>
    <row r="395">
      <c r="A395" s="9" t="n"/>
      <c r="B395" s="9" t="n"/>
      <c r="C395" s="10" t="n"/>
      <c r="D395" s="16" t="n"/>
      <c r="E395" s="9" t="n"/>
      <c r="F395" s="9">
        <f>IF($B395="","",IFERROR(VLOOKUP($B395,Agents!$A:$C,3,FALSE),"؟"))</f>
        <v/>
      </c>
      <c r="G395" s="9">
        <f>IF($D395="","",YEAR($D395))</f>
        <v/>
      </c>
      <c r="H395" s="9">
        <f>IF($D395="","",ROUNDUP(MONTH($D395)/3,0))</f>
        <v/>
      </c>
    </row>
    <row r="396">
      <c r="A396" s="6" t="n"/>
      <c r="B396" s="6" t="n"/>
      <c r="C396" s="8" t="n"/>
      <c r="D396" s="14" t="n"/>
      <c r="E396" s="6" t="n"/>
      <c r="F396" s="6">
        <f>IF($B396="","",IFERROR(VLOOKUP($B396,Agents!$A:$C,3,FALSE),"؟"))</f>
        <v/>
      </c>
      <c r="G396" s="6">
        <f>IF($D396="","",YEAR($D396))</f>
        <v/>
      </c>
      <c r="H396" s="6">
        <f>IF($D396="","",ROUNDUP(MONTH($D396)/3,0))</f>
        <v/>
      </c>
    </row>
    <row r="397">
      <c r="A397" s="9" t="n"/>
      <c r="B397" s="9" t="n"/>
      <c r="C397" s="10" t="n"/>
      <c r="D397" s="16" t="n"/>
      <c r="E397" s="9" t="n"/>
      <c r="F397" s="9">
        <f>IF($B397="","",IFERROR(VLOOKUP($B397,Agents!$A:$C,3,FALSE),"؟"))</f>
        <v/>
      </c>
      <c r="G397" s="9">
        <f>IF($D397="","",YEAR($D397))</f>
        <v/>
      </c>
      <c r="H397" s="9">
        <f>IF($D397="","",ROUNDUP(MONTH($D397)/3,0))</f>
        <v/>
      </c>
    </row>
    <row r="398">
      <c r="A398" s="6" t="n"/>
      <c r="B398" s="6" t="n"/>
      <c r="C398" s="8" t="n"/>
      <c r="D398" s="14" t="n"/>
      <c r="E398" s="6" t="n"/>
      <c r="F398" s="6">
        <f>IF($B398="","",IFERROR(VLOOKUP($B398,Agents!$A:$C,3,FALSE),"؟"))</f>
        <v/>
      </c>
      <c r="G398" s="6">
        <f>IF($D398="","",YEAR($D398))</f>
        <v/>
      </c>
      <c r="H398" s="6">
        <f>IF($D398="","",ROUNDUP(MONTH($D398)/3,0))</f>
        <v/>
      </c>
    </row>
    <row r="399">
      <c r="A399" s="9" t="n"/>
      <c r="B399" s="9" t="n"/>
      <c r="C399" s="10" t="n"/>
      <c r="D399" s="16" t="n"/>
      <c r="E399" s="9" t="n"/>
      <c r="F399" s="9">
        <f>IF($B399="","",IFERROR(VLOOKUP($B399,Agents!$A:$C,3,FALSE),"؟"))</f>
        <v/>
      </c>
      <c r="G399" s="9">
        <f>IF($D399="","",YEAR($D399))</f>
        <v/>
      </c>
      <c r="H399" s="9">
        <f>IF($D399="","",ROUNDUP(MONTH($D399)/3,0))</f>
        <v/>
      </c>
    </row>
    <row r="400">
      <c r="A400" s="6" t="n"/>
      <c r="B400" s="6" t="n"/>
      <c r="C400" s="8" t="n"/>
      <c r="D400" s="14" t="n"/>
      <c r="E400" s="6" t="n"/>
      <c r="F400" s="6">
        <f>IF($B400="","",IFERROR(VLOOKUP($B400,Agents!$A:$C,3,FALSE),"؟"))</f>
        <v/>
      </c>
      <c r="G400" s="6">
        <f>IF($D400="","",YEAR($D400))</f>
        <v/>
      </c>
      <c r="H400" s="6">
        <f>IF($D400="","",ROUNDUP(MONTH($D400)/3,0))</f>
        <v/>
      </c>
    </row>
    <row r="401">
      <c r="A401" s="9" t="n"/>
      <c r="B401" s="9" t="n"/>
      <c r="C401" s="10" t="n"/>
      <c r="D401" s="16" t="n"/>
      <c r="E401" s="9" t="n"/>
      <c r="F401" s="9">
        <f>IF($B401="","",IFERROR(VLOOKUP($B401,Agents!$A:$C,3,FALSE),"؟"))</f>
        <v/>
      </c>
      <c r="G401" s="9">
        <f>IF($D401="","",YEAR($D401))</f>
        <v/>
      </c>
      <c r="H401" s="9">
        <f>IF($D401="","",ROUNDUP(MONTH($D401)/3,0))</f>
        <v/>
      </c>
    </row>
    <row r="402">
      <c r="A402" s="6" t="n"/>
      <c r="B402" s="6" t="n"/>
      <c r="C402" s="8" t="n"/>
      <c r="D402" s="14" t="n"/>
      <c r="E402" s="6" t="n"/>
      <c r="F402" s="6">
        <f>IF($B402="","",IFERROR(VLOOKUP($B402,Agents!$A:$C,3,FALSE),"؟"))</f>
        <v/>
      </c>
      <c r="G402" s="6">
        <f>IF($D402="","",YEAR($D402))</f>
        <v/>
      </c>
      <c r="H402" s="6">
        <f>IF($D402="","",ROUNDUP(MONTH($D402)/3,0))</f>
        <v/>
      </c>
    </row>
    <row r="403">
      <c r="A403" s="9" t="n"/>
      <c r="B403" s="9" t="n"/>
      <c r="C403" s="10" t="n"/>
      <c r="D403" s="16" t="n"/>
      <c r="E403" s="9" t="n"/>
      <c r="F403" s="9">
        <f>IF($B403="","",IFERROR(VLOOKUP($B403,Agents!$A:$C,3,FALSE),"؟"))</f>
        <v/>
      </c>
      <c r="G403" s="9">
        <f>IF($D403="","",YEAR($D403))</f>
        <v/>
      </c>
      <c r="H403" s="9">
        <f>IF($D403="","",ROUNDUP(MONTH($D403)/3,0))</f>
        <v/>
      </c>
    </row>
    <row r="404">
      <c r="A404" s="6" t="n"/>
      <c r="B404" s="6" t="n"/>
      <c r="C404" s="8" t="n"/>
      <c r="D404" s="14" t="n"/>
      <c r="E404" s="6" t="n"/>
      <c r="F404" s="6">
        <f>IF($B404="","",IFERROR(VLOOKUP($B404,Agents!$A:$C,3,FALSE),"؟"))</f>
        <v/>
      </c>
      <c r="G404" s="6">
        <f>IF($D404="","",YEAR($D404))</f>
        <v/>
      </c>
      <c r="H404" s="6">
        <f>IF($D404="","",ROUNDUP(MONTH($D404)/3,0))</f>
        <v/>
      </c>
    </row>
    <row r="405">
      <c r="A405" s="9" t="n"/>
      <c r="B405" s="9" t="n"/>
      <c r="C405" s="10" t="n"/>
      <c r="D405" s="16" t="n"/>
      <c r="E405" s="9" t="n"/>
      <c r="F405" s="9">
        <f>IF($B405="","",IFERROR(VLOOKUP($B405,Agents!$A:$C,3,FALSE),"؟"))</f>
        <v/>
      </c>
      <c r="G405" s="9">
        <f>IF($D405="","",YEAR($D405))</f>
        <v/>
      </c>
      <c r="H405" s="9">
        <f>IF($D405="","",ROUNDUP(MONTH($D405)/3,0))</f>
        <v/>
      </c>
    </row>
    <row r="406">
      <c r="A406" s="6" t="n"/>
      <c r="B406" s="6" t="n"/>
      <c r="C406" s="8" t="n"/>
      <c r="D406" s="14" t="n"/>
      <c r="E406" s="6" t="n"/>
      <c r="F406" s="6">
        <f>IF($B406="","",IFERROR(VLOOKUP($B406,Agents!$A:$C,3,FALSE),"؟"))</f>
        <v/>
      </c>
      <c r="G406" s="6">
        <f>IF($D406="","",YEAR($D406))</f>
        <v/>
      </c>
      <c r="H406" s="6">
        <f>IF($D406="","",ROUNDUP(MONTH($D406)/3,0))</f>
        <v/>
      </c>
    </row>
    <row r="407">
      <c r="A407" s="9" t="n"/>
      <c r="B407" s="9" t="n"/>
      <c r="C407" s="10" t="n"/>
      <c r="D407" s="16" t="n"/>
      <c r="E407" s="9" t="n"/>
      <c r="F407" s="9">
        <f>IF($B407="","",IFERROR(VLOOKUP($B407,Agents!$A:$C,3,FALSE),"؟"))</f>
        <v/>
      </c>
      <c r="G407" s="9">
        <f>IF($D407="","",YEAR($D407))</f>
        <v/>
      </c>
      <c r="H407" s="9">
        <f>IF($D407="","",ROUNDUP(MONTH($D407)/3,0))</f>
        <v/>
      </c>
    </row>
    <row r="408">
      <c r="A408" s="6" t="n"/>
      <c r="B408" s="6" t="n"/>
      <c r="C408" s="8" t="n"/>
      <c r="D408" s="14" t="n"/>
      <c r="E408" s="6" t="n"/>
      <c r="F408" s="6">
        <f>IF($B408="","",IFERROR(VLOOKUP($B408,Agents!$A:$C,3,FALSE),"؟"))</f>
        <v/>
      </c>
      <c r="G408" s="6">
        <f>IF($D408="","",YEAR($D408))</f>
        <v/>
      </c>
      <c r="H408" s="6">
        <f>IF($D408="","",ROUNDUP(MONTH($D408)/3,0))</f>
        <v/>
      </c>
    </row>
    <row r="409">
      <c r="A409" s="9" t="n"/>
      <c r="B409" s="9" t="n"/>
      <c r="C409" s="10" t="n"/>
      <c r="D409" s="16" t="n"/>
      <c r="E409" s="9" t="n"/>
      <c r="F409" s="9">
        <f>IF($B409="","",IFERROR(VLOOKUP($B409,Agents!$A:$C,3,FALSE),"؟"))</f>
        <v/>
      </c>
      <c r="G409" s="9">
        <f>IF($D409="","",YEAR($D409))</f>
        <v/>
      </c>
      <c r="H409" s="9">
        <f>IF($D409="","",ROUNDUP(MONTH($D409)/3,0))</f>
        <v/>
      </c>
    </row>
    <row r="410">
      <c r="A410" s="6" t="n"/>
      <c r="B410" s="6" t="n"/>
      <c r="C410" s="8" t="n"/>
      <c r="D410" s="14" t="n"/>
      <c r="E410" s="6" t="n"/>
      <c r="F410" s="6">
        <f>IF($B410="","",IFERROR(VLOOKUP($B410,Agents!$A:$C,3,FALSE),"؟"))</f>
        <v/>
      </c>
      <c r="G410" s="6">
        <f>IF($D410="","",YEAR($D410))</f>
        <v/>
      </c>
      <c r="H410" s="6">
        <f>IF($D410="","",ROUNDUP(MONTH($D410)/3,0))</f>
        <v/>
      </c>
    </row>
    <row r="411">
      <c r="A411" s="9" t="n"/>
      <c r="B411" s="9" t="n"/>
      <c r="C411" s="10" t="n"/>
      <c r="D411" s="16" t="n"/>
      <c r="E411" s="9" t="n"/>
      <c r="F411" s="9">
        <f>IF($B411="","",IFERROR(VLOOKUP($B411,Agents!$A:$C,3,FALSE),"؟"))</f>
        <v/>
      </c>
      <c r="G411" s="9">
        <f>IF($D411="","",YEAR($D411))</f>
        <v/>
      </c>
      <c r="H411" s="9">
        <f>IF($D411="","",ROUNDUP(MONTH($D411)/3,0))</f>
        <v/>
      </c>
    </row>
    <row r="412">
      <c r="A412" s="6" t="n"/>
      <c r="B412" s="6" t="n"/>
      <c r="C412" s="8" t="n"/>
      <c r="D412" s="14" t="n"/>
      <c r="E412" s="6" t="n"/>
      <c r="F412" s="6">
        <f>IF($B412="","",IFERROR(VLOOKUP($B412,Agents!$A:$C,3,FALSE),"؟"))</f>
        <v/>
      </c>
      <c r="G412" s="6">
        <f>IF($D412="","",YEAR($D412))</f>
        <v/>
      </c>
      <c r="H412" s="6">
        <f>IF($D412="","",ROUNDUP(MONTH($D412)/3,0))</f>
        <v/>
      </c>
    </row>
    <row r="413">
      <c r="A413" s="9" t="n"/>
      <c r="B413" s="9" t="n"/>
      <c r="C413" s="10" t="n"/>
      <c r="D413" s="16" t="n"/>
      <c r="E413" s="9" t="n"/>
      <c r="F413" s="9">
        <f>IF($B413="","",IFERROR(VLOOKUP($B413,Agents!$A:$C,3,FALSE),"؟"))</f>
        <v/>
      </c>
      <c r="G413" s="9">
        <f>IF($D413="","",YEAR($D413))</f>
        <v/>
      </c>
      <c r="H413" s="9">
        <f>IF($D413="","",ROUNDUP(MONTH($D413)/3,0))</f>
        <v/>
      </c>
    </row>
    <row r="414">
      <c r="A414" s="6" t="n"/>
      <c r="B414" s="6" t="n"/>
      <c r="C414" s="8" t="n"/>
      <c r="D414" s="14" t="n"/>
      <c r="E414" s="6" t="n"/>
      <c r="F414" s="6">
        <f>IF($B414="","",IFERROR(VLOOKUP($B414,Agents!$A:$C,3,FALSE),"؟"))</f>
        <v/>
      </c>
      <c r="G414" s="6">
        <f>IF($D414="","",YEAR($D414))</f>
        <v/>
      </c>
      <c r="H414" s="6">
        <f>IF($D414="","",ROUNDUP(MONTH($D414)/3,0))</f>
        <v/>
      </c>
    </row>
    <row r="415">
      <c r="A415" s="9" t="n"/>
      <c r="B415" s="9" t="n"/>
      <c r="C415" s="10" t="n"/>
      <c r="D415" s="16" t="n"/>
      <c r="E415" s="9" t="n"/>
      <c r="F415" s="9">
        <f>IF($B415="","",IFERROR(VLOOKUP($B415,Agents!$A:$C,3,FALSE),"؟"))</f>
        <v/>
      </c>
      <c r="G415" s="9">
        <f>IF($D415="","",YEAR($D415))</f>
        <v/>
      </c>
      <c r="H415" s="9">
        <f>IF($D415="","",ROUNDUP(MONTH($D415)/3,0))</f>
        <v/>
      </c>
    </row>
    <row r="416">
      <c r="A416" s="6" t="n"/>
      <c r="B416" s="6" t="n"/>
      <c r="C416" s="8" t="n"/>
      <c r="D416" s="14" t="n"/>
      <c r="E416" s="6" t="n"/>
      <c r="F416" s="6">
        <f>IF($B416="","",IFERROR(VLOOKUP($B416,Agents!$A:$C,3,FALSE),"؟"))</f>
        <v/>
      </c>
      <c r="G416" s="6">
        <f>IF($D416="","",YEAR($D416))</f>
        <v/>
      </c>
      <c r="H416" s="6">
        <f>IF($D416="","",ROUNDUP(MONTH($D416)/3,0))</f>
        <v/>
      </c>
    </row>
    <row r="417">
      <c r="A417" s="9" t="n"/>
      <c r="B417" s="9" t="n"/>
      <c r="C417" s="10" t="n"/>
      <c r="D417" s="16" t="n"/>
      <c r="E417" s="9" t="n"/>
      <c r="F417" s="9">
        <f>IF($B417="","",IFERROR(VLOOKUP($B417,Agents!$A:$C,3,FALSE),"؟"))</f>
        <v/>
      </c>
      <c r="G417" s="9">
        <f>IF($D417="","",YEAR($D417))</f>
        <v/>
      </c>
      <c r="H417" s="9">
        <f>IF($D417="","",ROUNDUP(MONTH($D417)/3,0))</f>
        <v/>
      </c>
    </row>
    <row r="418">
      <c r="A418" s="6" t="n"/>
      <c r="B418" s="6" t="n"/>
      <c r="C418" s="8" t="n"/>
      <c r="D418" s="14" t="n"/>
      <c r="E418" s="6" t="n"/>
      <c r="F418" s="6">
        <f>IF($B418="","",IFERROR(VLOOKUP($B418,Agents!$A:$C,3,FALSE),"؟"))</f>
        <v/>
      </c>
      <c r="G418" s="6">
        <f>IF($D418="","",YEAR($D418))</f>
        <v/>
      </c>
      <c r="H418" s="6">
        <f>IF($D418="","",ROUNDUP(MONTH($D418)/3,0))</f>
        <v/>
      </c>
    </row>
    <row r="419">
      <c r="A419" s="9" t="n"/>
      <c r="B419" s="9" t="n"/>
      <c r="C419" s="10" t="n"/>
      <c r="D419" s="16" t="n"/>
      <c r="E419" s="9" t="n"/>
      <c r="F419" s="9">
        <f>IF($B419="","",IFERROR(VLOOKUP($B419,Agents!$A:$C,3,FALSE),"؟"))</f>
        <v/>
      </c>
      <c r="G419" s="9">
        <f>IF($D419="","",YEAR($D419))</f>
        <v/>
      </c>
      <c r="H419" s="9">
        <f>IF($D419="","",ROUNDUP(MONTH($D419)/3,0))</f>
        <v/>
      </c>
    </row>
    <row r="420">
      <c r="A420" s="6" t="n"/>
      <c r="B420" s="6" t="n"/>
      <c r="C420" s="8" t="n"/>
      <c r="D420" s="14" t="n"/>
      <c r="E420" s="6" t="n"/>
      <c r="F420" s="6">
        <f>IF($B420="","",IFERROR(VLOOKUP($B420,Agents!$A:$C,3,FALSE),"؟"))</f>
        <v/>
      </c>
      <c r="G420" s="6">
        <f>IF($D420="","",YEAR($D420))</f>
        <v/>
      </c>
      <c r="H420" s="6">
        <f>IF($D420="","",ROUNDUP(MONTH($D420)/3,0))</f>
        <v/>
      </c>
    </row>
    <row r="421">
      <c r="A421" s="9" t="n"/>
      <c r="B421" s="9" t="n"/>
      <c r="C421" s="10" t="n"/>
      <c r="D421" s="16" t="n"/>
      <c r="E421" s="9" t="n"/>
      <c r="F421" s="9">
        <f>IF($B421="","",IFERROR(VLOOKUP($B421,Agents!$A:$C,3,FALSE),"؟"))</f>
        <v/>
      </c>
      <c r="G421" s="9">
        <f>IF($D421="","",YEAR($D421))</f>
        <v/>
      </c>
      <c r="H421" s="9">
        <f>IF($D421="","",ROUNDUP(MONTH($D421)/3,0))</f>
        <v/>
      </c>
    </row>
    <row r="422">
      <c r="A422" s="6" t="n"/>
      <c r="B422" s="6" t="n"/>
      <c r="C422" s="8" t="n"/>
      <c r="D422" s="14" t="n"/>
      <c r="E422" s="6" t="n"/>
      <c r="F422" s="6">
        <f>IF($B422="","",IFERROR(VLOOKUP($B422,Agents!$A:$C,3,FALSE),"؟"))</f>
        <v/>
      </c>
      <c r="G422" s="6">
        <f>IF($D422="","",YEAR($D422))</f>
        <v/>
      </c>
      <c r="H422" s="6">
        <f>IF($D422="","",ROUNDUP(MONTH($D422)/3,0))</f>
        <v/>
      </c>
    </row>
    <row r="423">
      <c r="A423" s="9" t="n"/>
      <c r="B423" s="9" t="n"/>
      <c r="C423" s="10" t="n"/>
      <c r="D423" s="16" t="n"/>
      <c r="E423" s="9" t="n"/>
      <c r="F423" s="9">
        <f>IF($B423="","",IFERROR(VLOOKUP($B423,Agents!$A:$C,3,FALSE),"؟"))</f>
        <v/>
      </c>
      <c r="G423" s="9">
        <f>IF($D423="","",YEAR($D423))</f>
        <v/>
      </c>
      <c r="H423" s="9">
        <f>IF($D423="","",ROUNDUP(MONTH($D423)/3,0))</f>
        <v/>
      </c>
    </row>
    <row r="424">
      <c r="A424" s="6" t="n"/>
      <c r="B424" s="6" t="n"/>
      <c r="C424" s="8" t="n"/>
      <c r="D424" s="14" t="n"/>
      <c r="E424" s="6" t="n"/>
      <c r="F424" s="6">
        <f>IF($B424="","",IFERROR(VLOOKUP($B424,Agents!$A:$C,3,FALSE),"؟"))</f>
        <v/>
      </c>
      <c r="G424" s="6">
        <f>IF($D424="","",YEAR($D424))</f>
        <v/>
      </c>
      <c r="H424" s="6">
        <f>IF($D424="","",ROUNDUP(MONTH($D424)/3,0))</f>
        <v/>
      </c>
    </row>
    <row r="425">
      <c r="A425" s="9" t="n"/>
      <c r="B425" s="9" t="n"/>
      <c r="C425" s="10" t="n"/>
      <c r="D425" s="16" t="n"/>
      <c r="E425" s="9" t="n"/>
      <c r="F425" s="9">
        <f>IF($B425="","",IFERROR(VLOOKUP($B425,Agents!$A:$C,3,FALSE),"؟"))</f>
        <v/>
      </c>
      <c r="G425" s="9">
        <f>IF($D425="","",YEAR($D425))</f>
        <v/>
      </c>
      <c r="H425" s="9">
        <f>IF($D425="","",ROUNDUP(MONTH($D425)/3,0))</f>
        <v/>
      </c>
    </row>
    <row r="426">
      <c r="A426" s="6" t="n"/>
      <c r="B426" s="6" t="n"/>
      <c r="C426" s="8" t="n"/>
      <c r="D426" s="14" t="n"/>
      <c r="E426" s="6" t="n"/>
      <c r="F426" s="6">
        <f>IF($B426="","",IFERROR(VLOOKUP($B426,Agents!$A:$C,3,FALSE),"؟"))</f>
        <v/>
      </c>
      <c r="G426" s="6">
        <f>IF($D426="","",YEAR($D426))</f>
        <v/>
      </c>
      <c r="H426" s="6">
        <f>IF($D426="","",ROUNDUP(MONTH($D426)/3,0))</f>
        <v/>
      </c>
    </row>
    <row r="427">
      <c r="A427" s="9" t="n"/>
      <c r="B427" s="9" t="n"/>
      <c r="C427" s="10" t="n"/>
      <c r="D427" s="16" t="n"/>
      <c r="E427" s="9" t="n"/>
      <c r="F427" s="9">
        <f>IF($B427="","",IFERROR(VLOOKUP($B427,Agents!$A:$C,3,FALSE),"؟"))</f>
        <v/>
      </c>
      <c r="G427" s="9">
        <f>IF($D427="","",YEAR($D427))</f>
        <v/>
      </c>
      <c r="H427" s="9">
        <f>IF($D427="","",ROUNDUP(MONTH($D427)/3,0))</f>
        <v/>
      </c>
    </row>
    <row r="428">
      <c r="A428" s="6" t="n"/>
      <c r="B428" s="6" t="n"/>
      <c r="C428" s="8" t="n"/>
      <c r="D428" s="14" t="n"/>
      <c r="E428" s="6" t="n"/>
      <c r="F428" s="6">
        <f>IF($B428="","",IFERROR(VLOOKUP($B428,Agents!$A:$C,3,FALSE),"؟"))</f>
        <v/>
      </c>
      <c r="G428" s="6">
        <f>IF($D428="","",YEAR($D428))</f>
        <v/>
      </c>
      <c r="H428" s="6">
        <f>IF($D428="","",ROUNDUP(MONTH($D428)/3,0))</f>
        <v/>
      </c>
    </row>
    <row r="429">
      <c r="A429" s="9" t="n"/>
      <c r="B429" s="9" t="n"/>
      <c r="C429" s="10" t="n"/>
      <c r="D429" s="16" t="n"/>
      <c r="E429" s="9" t="n"/>
      <c r="F429" s="9">
        <f>IF($B429="","",IFERROR(VLOOKUP($B429,Agents!$A:$C,3,FALSE),"؟"))</f>
        <v/>
      </c>
      <c r="G429" s="9">
        <f>IF($D429="","",YEAR($D429))</f>
        <v/>
      </c>
      <c r="H429" s="9">
        <f>IF($D429="","",ROUNDUP(MONTH($D429)/3,0))</f>
        <v/>
      </c>
    </row>
    <row r="430">
      <c r="A430" s="6" t="n"/>
      <c r="B430" s="6" t="n"/>
      <c r="C430" s="8" t="n"/>
      <c r="D430" s="14" t="n"/>
      <c r="E430" s="6" t="n"/>
      <c r="F430" s="6">
        <f>IF($B430="","",IFERROR(VLOOKUP($B430,Agents!$A:$C,3,FALSE),"؟"))</f>
        <v/>
      </c>
      <c r="G430" s="6">
        <f>IF($D430="","",YEAR($D430))</f>
        <v/>
      </c>
      <c r="H430" s="6">
        <f>IF($D430="","",ROUNDUP(MONTH($D430)/3,0))</f>
        <v/>
      </c>
    </row>
    <row r="431">
      <c r="A431" s="9" t="n"/>
      <c r="B431" s="9" t="n"/>
      <c r="C431" s="10" t="n"/>
      <c r="D431" s="16" t="n"/>
      <c r="E431" s="9" t="n"/>
      <c r="F431" s="9">
        <f>IF($B431="","",IFERROR(VLOOKUP($B431,Agents!$A:$C,3,FALSE),"؟"))</f>
        <v/>
      </c>
      <c r="G431" s="9">
        <f>IF($D431="","",YEAR($D431))</f>
        <v/>
      </c>
      <c r="H431" s="9">
        <f>IF($D431="","",ROUNDUP(MONTH($D431)/3,0))</f>
        <v/>
      </c>
    </row>
    <row r="432">
      <c r="A432" s="6" t="n"/>
      <c r="B432" s="6" t="n"/>
      <c r="C432" s="8" t="n"/>
      <c r="D432" s="14" t="n"/>
      <c r="E432" s="6" t="n"/>
      <c r="F432" s="6">
        <f>IF($B432="","",IFERROR(VLOOKUP($B432,Agents!$A:$C,3,FALSE),"؟"))</f>
        <v/>
      </c>
      <c r="G432" s="6">
        <f>IF($D432="","",YEAR($D432))</f>
        <v/>
      </c>
      <c r="H432" s="6">
        <f>IF($D432="","",ROUNDUP(MONTH($D432)/3,0))</f>
        <v/>
      </c>
    </row>
    <row r="433">
      <c r="A433" s="9" t="n"/>
      <c r="B433" s="9" t="n"/>
      <c r="C433" s="10" t="n"/>
      <c r="D433" s="16" t="n"/>
      <c r="E433" s="9" t="n"/>
      <c r="F433" s="9">
        <f>IF($B433="","",IFERROR(VLOOKUP($B433,Agents!$A:$C,3,FALSE),"؟"))</f>
        <v/>
      </c>
      <c r="G433" s="9">
        <f>IF($D433="","",YEAR($D433))</f>
        <v/>
      </c>
      <c r="H433" s="9">
        <f>IF($D433="","",ROUNDUP(MONTH($D433)/3,0))</f>
        <v/>
      </c>
    </row>
    <row r="434">
      <c r="A434" s="6" t="n"/>
      <c r="B434" s="6" t="n"/>
      <c r="C434" s="8" t="n"/>
      <c r="D434" s="14" t="n"/>
      <c r="E434" s="6" t="n"/>
      <c r="F434" s="6">
        <f>IF($B434="","",IFERROR(VLOOKUP($B434,Agents!$A:$C,3,FALSE),"؟"))</f>
        <v/>
      </c>
      <c r="G434" s="6">
        <f>IF($D434="","",YEAR($D434))</f>
        <v/>
      </c>
      <c r="H434" s="6">
        <f>IF($D434="","",ROUNDUP(MONTH($D434)/3,0))</f>
        <v/>
      </c>
    </row>
    <row r="435">
      <c r="A435" s="9" t="n"/>
      <c r="B435" s="9" t="n"/>
      <c r="C435" s="10" t="n"/>
      <c r="D435" s="16" t="n"/>
      <c r="E435" s="9" t="n"/>
      <c r="F435" s="9">
        <f>IF($B435="","",IFERROR(VLOOKUP($B435,Agents!$A:$C,3,FALSE),"؟"))</f>
        <v/>
      </c>
      <c r="G435" s="9">
        <f>IF($D435="","",YEAR($D435))</f>
        <v/>
      </c>
      <c r="H435" s="9">
        <f>IF($D435="","",ROUNDUP(MONTH($D435)/3,0))</f>
        <v/>
      </c>
    </row>
    <row r="436">
      <c r="A436" s="6" t="n"/>
      <c r="B436" s="6" t="n"/>
      <c r="C436" s="8" t="n"/>
      <c r="D436" s="14" t="n"/>
      <c r="E436" s="6" t="n"/>
      <c r="F436" s="6">
        <f>IF($B436="","",IFERROR(VLOOKUP($B436,Agents!$A:$C,3,FALSE),"؟"))</f>
        <v/>
      </c>
      <c r="G436" s="6">
        <f>IF($D436="","",YEAR($D436))</f>
        <v/>
      </c>
      <c r="H436" s="6">
        <f>IF($D436="","",ROUNDUP(MONTH($D436)/3,0))</f>
        <v/>
      </c>
    </row>
    <row r="437">
      <c r="A437" s="9" t="n"/>
      <c r="B437" s="9" t="n"/>
      <c r="C437" s="10" t="n"/>
      <c r="D437" s="16" t="n"/>
      <c r="E437" s="9" t="n"/>
      <c r="F437" s="9">
        <f>IF($B437="","",IFERROR(VLOOKUP($B437,Agents!$A:$C,3,FALSE),"؟"))</f>
        <v/>
      </c>
      <c r="G437" s="9">
        <f>IF($D437="","",YEAR($D437))</f>
        <v/>
      </c>
      <c r="H437" s="9">
        <f>IF($D437="","",ROUNDUP(MONTH($D437)/3,0))</f>
        <v/>
      </c>
    </row>
    <row r="438">
      <c r="A438" s="6" t="n"/>
      <c r="B438" s="6" t="n"/>
      <c r="C438" s="8" t="n"/>
      <c r="D438" s="14" t="n"/>
      <c r="E438" s="6" t="n"/>
      <c r="F438" s="6">
        <f>IF($B438="","",IFERROR(VLOOKUP($B438,Agents!$A:$C,3,FALSE),"؟"))</f>
        <v/>
      </c>
      <c r="G438" s="6">
        <f>IF($D438="","",YEAR($D438))</f>
        <v/>
      </c>
      <c r="H438" s="6">
        <f>IF($D438="","",ROUNDUP(MONTH($D438)/3,0))</f>
        <v/>
      </c>
    </row>
    <row r="439">
      <c r="A439" s="9" t="n"/>
      <c r="B439" s="9" t="n"/>
      <c r="C439" s="10" t="n"/>
      <c r="D439" s="16" t="n"/>
      <c r="E439" s="9" t="n"/>
      <c r="F439" s="9">
        <f>IF($B439="","",IFERROR(VLOOKUP($B439,Agents!$A:$C,3,FALSE),"؟"))</f>
        <v/>
      </c>
      <c r="G439" s="9">
        <f>IF($D439="","",YEAR($D439))</f>
        <v/>
      </c>
      <c r="H439" s="9">
        <f>IF($D439="","",ROUNDUP(MONTH($D439)/3,0))</f>
        <v/>
      </c>
    </row>
    <row r="440">
      <c r="A440" s="6" t="n"/>
      <c r="B440" s="6" t="n"/>
      <c r="C440" s="8" t="n"/>
      <c r="D440" s="14" t="n"/>
      <c r="E440" s="6" t="n"/>
      <c r="F440" s="6">
        <f>IF($B440="","",IFERROR(VLOOKUP($B440,Agents!$A:$C,3,FALSE),"؟"))</f>
        <v/>
      </c>
      <c r="G440" s="6">
        <f>IF($D440="","",YEAR($D440))</f>
        <v/>
      </c>
      <c r="H440" s="6">
        <f>IF($D440="","",ROUNDUP(MONTH($D440)/3,0))</f>
        <v/>
      </c>
    </row>
    <row r="441">
      <c r="A441" s="9" t="n"/>
      <c r="B441" s="9" t="n"/>
      <c r="C441" s="10" t="n"/>
      <c r="D441" s="16" t="n"/>
      <c r="E441" s="9" t="n"/>
      <c r="F441" s="9">
        <f>IF($B441="","",IFERROR(VLOOKUP($B441,Agents!$A:$C,3,FALSE),"؟"))</f>
        <v/>
      </c>
      <c r="G441" s="9">
        <f>IF($D441="","",YEAR($D441))</f>
        <v/>
      </c>
      <c r="H441" s="9">
        <f>IF($D441="","",ROUNDUP(MONTH($D441)/3,0))</f>
        <v/>
      </c>
    </row>
    <row r="442">
      <c r="A442" s="6" t="n"/>
      <c r="B442" s="6" t="n"/>
      <c r="C442" s="8" t="n"/>
      <c r="D442" s="14" t="n"/>
      <c r="E442" s="6" t="n"/>
      <c r="F442" s="6">
        <f>IF($B442="","",IFERROR(VLOOKUP($B442,Agents!$A:$C,3,FALSE),"؟"))</f>
        <v/>
      </c>
      <c r="G442" s="6">
        <f>IF($D442="","",YEAR($D442))</f>
        <v/>
      </c>
      <c r="H442" s="6">
        <f>IF($D442="","",ROUNDUP(MONTH($D442)/3,0))</f>
        <v/>
      </c>
    </row>
    <row r="443">
      <c r="A443" s="9" t="n"/>
      <c r="B443" s="9" t="n"/>
      <c r="C443" s="10" t="n"/>
      <c r="D443" s="16" t="n"/>
      <c r="E443" s="9" t="n"/>
      <c r="F443" s="9">
        <f>IF($B443="","",IFERROR(VLOOKUP($B443,Agents!$A:$C,3,FALSE),"؟"))</f>
        <v/>
      </c>
      <c r="G443" s="9">
        <f>IF($D443="","",YEAR($D443))</f>
        <v/>
      </c>
      <c r="H443" s="9">
        <f>IF($D443="","",ROUNDUP(MONTH($D443)/3,0))</f>
        <v/>
      </c>
    </row>
    <row r="444">
      <c r="A444" s="6" t="n"/>
      <c r="B444" s="6" t="n"/>
      <c r="C444" s="8" t="n"/>
      <c r="D444" s="14" t="n"/>
      <c r="E444" s="6" t="n"/>
      <c r="F444" s="6">
        <f>IF($B444="","",IFERROR(VLOOKUP($B444,Agents!$A:$C,3,FALSE),"؟"))</f>
        <v/>
      </c>
      <c r="G444" s="6">
        <f>IF($D444="","",YEAR($D444))</f>
        <v/>
      </c>
      <c r="H444" s="6">
        <f>IF($D444="","",ROUNDUP(MONTH($D444)/3,0))</f>
        <v/>
      </c>
    </row>
    <row r="445">
      <c r="A445" s="9" t="n"/>
      <c r="B445" s="9" t="n"/>
      <c r="C445" s="10" t="n"/>
      <c r="D445" s="16" t="n"/>
      <c r="E445" s="9" t="n"/>
      <c r="F445" s="9">
        <f>IF($B445="","",IFERROR(VLOOKUP($B445,Agents!$A:$C,3,FALSE),"؟"))</f>
        <v/>
      </c>
      <c r="G445" s="9">
        <f>IF($D445="","",YEAR($D445))</f>
        <v/>
      </c>
      <c r="H445" s="9">
        <f>IF($D445="","",ROUNDUP(MONTH($D445)/3,0))</f>
        <v/>
      </c>
    </row>
    <row r="446">
      <c r="A446" s="6" t="n"/>
      <c r="B446" s="6" t="n"/>
      <c r="C446" s="8" t="n"/>
      <c r="D446" s="14" t="n"/>
      <c r="E446" s="6" t="n"/>
      <c r="F446" s="6">
        <f>IF($B446="","",IFERROR(VLOOKUP($B446,Agents!$A:$C,3,FALSE),"؟"))</f>
        <v/>
      </c>
      <c r="G446" s="6">
        <f>IF($D446="","",YEAR($D446))</f>
        <v/>
      </c>
      <c r="H446" s="6">
        <f>IF($D446="","",ROUNDUP(MONTH($D446)/3,0))</f>
        <v/>
      </c>
    </row>
    <row r="447">
      <c r="A447" s="9" t="n"/>
      <c r="B447" s="9" t="n"/>
      <c r="C447" s="10" t="n"/>
      <c r="D447" s="16" t="n"/>
      <c r="E447" s="9" t="n"/>
      <c r="F447" s="9">
        <f>IF($B447="","",IFERROR(VLOOKUP($B447,Agents!$A:$C,3,FALSE),"؟"))</f>
        <v/>
      </c>
      <c r="G447" s="9">
        <f>IF($D447="","",YEAR($D447))</f>
        <v/>
      </c>
      <c r="H447" s="9">
        <f>IF($D447="","",ROUNDUP(MONTH($D447)/3,0))</f>
        <v/>
      </c>
    </row>
    <row r="448">
      <c r="A448" s="6" t="n"/>
      <c r="B448" s="6" t="n"/>
      <c r="C448" s="8" t="n"/>
      <c r="D448" s="14" t="n"/>
      <c r="E448" s="6" t="n"/>
      <c r="F448" s="6">
        <f>IF($B448="","",IFERROR(VLOOKUP($B448,Agents!$A:$C,3,FALSE),"؟"))</f>
        <v/>
      </c>
      <c r="G448" s="6">
        <f>IF($D448="","",YEAR($D448))</f>
        <v/>
      </c>
      <c r="H448" s="6">
        <f>IF($D448="","",ROUNDUP(MONTH($D448)/3,0))</f>
        <v/>
      </c>
    </row>
    <row r="449">
      <c r="A449" s="9" t="n"/>
      <c r="B449" s="9" t="n"/>
      <c r="C449" s="10" t="n"/>
      <c r="D449" s="16" t="n"/>
      <c r="E449" s="9" t="n"/>
      <c r="F449" s="9">
        <f>IF($B449="","",IFERROR(VLOOKUP($B449,Agents!$A:$C,3,FALSE),"؟"))</f>
        <v/>
      </c>
      <c r="G449" s="9">
        <f>IF($D449="","",YEAR($D449))</f>
        <v/>
      </c>
      <c r="H449" s="9">
        <f>IF($D449="","",ROUNDUP(MONTH($D449)/3,0))</f>
        <v/>
      </c>
    </row>
    <row r="450">
      <c r="A450" s="6" t="n"/>
      <c r="B450" s="6" t="n"/>
      <c r="C450" s="8" t="n"/>
      <c r="D450" s="14" t="n"/>
      <c r="E450" s="6" t="n"/>
      <c r="F450" s="6">
        <f>IF($B450="","",IFERROR(VLOOKUP($B450,Agents!$A:$C,3,FALSE),"؟"))</f>
        <v/>
      </c>
      <c r="G450" s="6">
        <f>IF($D450="","",YEAR($D450))</f>
        <v/>
      </c>
      <c r="H450" s="6">
        <f>IF($D450="","",ROUNDUP(MONTH($D450)/3,0))</f>
        <v/>
      </c>
    </row>
    <row r="451">
      <c r="A451" s="9" t="n"/>
      <c r="B451" s="9" t="n"/>
      <c r="C451" s="10" t="n"/>
      <c r="D451" s="16" t="n"/>
      <c r="E451" s="9" t="n"/>
      <c r="F451" s="9">
        <f>IF($B451="","",IFERROR(VLOOKUP($B451,Agents!$A:$C,3,FALSE),"؟"))</f>
        <v/>
      </c>
      <c r="G451" s="9">
        <f>IF($D451="","",YEAR($D451))</f>
        <v/>
      </c>
      <c r="H451" s="9">
        <f>IF($D451="","",ROUNDUP(MONTH($D451)/3,0))</f>
        <v/>
      </c>
    </row>
    <row r="452">
      <c r="A452" s="6" t="n"/>
      <c r="B452" s="6" t="n"/>
      <c r="C452" s="8" t="n"/>
      <c r="D452" s="14" t="n"/>
      <c r="E452" s="6" t="n"/>
      <c r="F452" s="6">
        <f>IF($B452="","",IFERROR(VLOOKUP($B452,Agents!$A:$C,3,FALSE),"؟"))</f>
        <v/>
      </c>
      <c r="G452" s="6">
        <f>IF($D452="","",YEAR($D452))</f>
        <v/>
      </c>
      <c r="H452" s="6">
        <f>IF($D452="","",ROUNDUP(MONTH($D452)/3,0))</f>
        <v/>
      </c>
    </row>
    <row r="453">
      <c r="A453" s="9" t="n"/>
      <c r="B453" s="9" t="n"/>
      <c r="C453" s="10" t="n"/>
      <c r="D453" s="16" t="n"/>
      <c r="E453" s="9" t="n"/>
      <c r="F453" s="9">
        <f>IF($B453="","",IFERROR(VLOOKUP($B453,Agents!$A:$C,3,FALSE),"؟"))</f>
        <v/>
      </c>
      <c r="G453" s="9">
        <f>IF($D453="","",YEAR($D453))</f>
        <v/>
      </c>
      <c r="H453" s="9">
        <f>IF($D453="","",ROUNDUP(MONTH($D453)/3,0))</f>
        <v/>
      </c>
    </row>
    <row r="454">
      <c r="A454" s="6" t="n"/>
      <c r="B454" s="6" t="n"/>
      <c r="C454" s="8" t="n"/>
      <c r="D454" s="14" t="n"/>
      <c r="E454" s="6" t="n"/>
      <c r="F454" s="6">
        <f>IF($B454="","",IFERROR(VLOOKUP($B454,Agents!$A:$C,3,FALSE),"؟"))</f>
        <v/>
      </c>
      <c r="G454" s="6">
        <f>IF($D454="","",YEAR($D454))</f>
        <v/>
      </c>
      <c r="H454" s="6">
        <f>IF($D454="","",ROUNDUP(MONTH($D454)/3,0))</f>
        <v/>
      </c>
    </row>
    <row r="455">
      <c r="A455" s="9" t="n"/>
      <c r="B455" s="9" t="n"/>
      <c r="C455" s="10" t="n"/>
      <c r="D455" s="16" t="n"/>
      <c r="E455" s="9" t="n"/>
      <c r="F455" s="9">
        <f>IF($B455="","",IFERROR(VLOOKUP($B455,Agents!$A:$C,3,FALSE),"؟"))</f>
        <v/>
      </c>
      <c r="G455" s="9">
        <f>IF($D455="","",YEAR($D455))</f>
        <v/>
      </c>
      <c r="H455" s="9">
        <f>IF($D455="","",ROUNDUP(MONTH($D455)/3,0))</f>
        <v/>
      </c>
    </row>
    <row r="456">
      <c r="A456" s="6" t="n"/>
      <c r="B456" s="6" t="n"/>
      <c r="C456" s="8" t="n"/>
      <c r="D456" s="14" t="n"/>
      <c r="E456" s="6" t="n"/>
      <c r="F456" s="6">
        <f>IF($B456="","",IFERROR(VLOOKUP($B456,Agents!$A:$C,3,FALSE),"؟"))</f>
        <v/>
      </c>
      <c r="G456" s="6">
        <f>IF($D456="","",YEAR($D456))</f>
        <v/>
      </c>
      <c r="H456" s="6">
        <f>IF($D456="","",ROUNDUP(MONTH($D456)/3,0))</f>
        <v/>
      </c>
    </row>
    <row r="457">
      <c r="A457" s="9" t="n"/>
      <c r="B457" s="9" t="n"/>
      <c r="C457" s="10" t="n"/>
      <c r="D457" s="16" t="n"/>
      <c r="E457" s="9" t="n"/>
      <c r="F457" s="9">
        <f>IF($B457="","",IFERROR(VLOOKUP($B457,Agents!$A:$C,3,FALSE),"؟"))</f>
        <v/>
      </c>
      <c r="G457" s="9">
        <f>IF($D457="","",YEAR($D457))</f>
        <v/>
      </c>
      <c r="H457" s="9">
        <f>IF($D457="","",ROUNDUP(MONTH($D457)/3,0))</f>
        <v/>
      </c>
    </row>
    <row r="458">
      <c r="A458" s="6" t="n"/>
      <c r="B458" s="6" t="n"/>
      <c r="C458" s="8" t="n"/>
      <c r="D458" s="14" t="n"/>
      <c r="E458" s="6" t="n"/>
      <c r="F458" s="6">
        <f>IF($B458="","",IFERROR(VLOOKUP($B458,Agents!$A:$C,3,FALSE),"؟"))</f>
        <v/>
      </c>
      <c r="G458" s="6">
        <f>IF($D458="","",YEAR($D458))</f>
        <v/>
      </c>
      <c r="H458" s="6">
        <f>IF($D458="","",ROUNDUP(MONTH($D458)/3,0))</f>
        <v/>
      </c>
    </row>
    <row r="459">
      <c r="A459" s="9" t="n"/>
      <c r="B459" s="9" t="n"/>
      <c r="C459" s="10" t="n"/>
      <c r="D459" s="16" t="n"/>
      <c r="E459" s="9" t="n"/>
      <c r="F459" s="9">
        <f>IF($B459="","",IFERROR(VLOOKUP($B459,Agents!$A:$C,3,FALSE),"؟"))</f>
        <v/>
      </c>
      <c r="G459" s="9">
        <f>IF($D459="","",YEAR($D459))</f>
        <v/>
      </c>
      <c r="H459" s="9">
        <f>IF($D459="","",ROUNDUP(MONTH($D459)/3,0))</f>
        <v/>
      </c>
    </row>
    <row r="460">
      <c r="A460" s="6" t="n"/>
      <c r="B460" s="6" t="n"/>
      <c r="C460" s="8" t="n"/>
      <c r="D460" s="14" t="n"/>
      <c r="E460" s="6" t="n"/>
      <c r="F460" s="6">
        <f>IF($B460="","",IFERROR(VLOOKUP($B460,Agents!$A:$C,3,FALSE),"؟"))</f>
        <v/>
      </c>
      <c r="G460" s="6">
        <f>IF($D460="","",YEAR($D460))</f>
        <v/>
      </c>
      <c r="H460" s="6">
        <f>IF($D460="","",ROUNDUP(MONTH($D460)/3,0))</f>
        <v/>
      </c>
    </row>
    <row r="461">
      <c r="A461" s="9" t="n"/>
      <c r="B461" s="9" t="n"/>
      <c r="C461" s="10" t="n"/>
      <c r="D461" s="16" t="n"/>
      <c r="E461" s="9" t="n"/>
      <c r="F461" s="9">
        <f>IF($B461="","",IFERROR(VLOOKUP($B461,Agents!$A:$C,3,FALSE),"؟"))</f>
        <v/>
      </c>
      <c r="G461" s="9">
        <f>IF($D461="","",YEAR($D461))</f>
        <v/>
      </c>
      <c r="H461" s="9">
        <f>IF($D461="","",ROUNDUP(MONTH($D461)/3,0))</f>
        <v/>
      </c>
    </row>
    <row r="462">
      <c r="A462" s="6" t="n"/>
      <c r="B462" s="6" t="n"/>
      <c r="C462" s="8" t="n"/>
      <c r="D462" s="14" t="n"/>
      <c r="E462" s="6" t="n"/>
      <c r="F462" s="6">
        <f>IF($B462="","",IFERROR(VLOOKUP($B462,Agents!$A:$C,3,FALSE),"؟"))</f>
        <v/>
      </c>
      <c r="G462" s="6">
        <f>IF($D462="","",YEAR($D462))</f>
        <v/>
      </c>
      <c r="H462" s="6">
        <f>IF($D462="","",ROUNDUP(MONTH($D462)/3,0))</f>
        <v/>
      </c>
    </row>
    <row r="463">
      <c r="A463" s="9" t="n"/>
      <c r="B463" s="9" t="n"/>
      <c r="C463" s="10" t="n"/>
      <c r="D463" s="16" t="n"/>
      <c r="E463" s="9" t="n"/>
      <c r="F463" s="9">
        <f>IF($B463="","",IFERROR(VLOOKUP($B463,Agents!$A:$C,3,FALSE),"؟"))</f>
        <v/>
      </c>
      <c r="G463" s="9">
        <f>IF($D463="","",YEAR($D463))</f>
        <v/>
      </c>
      <c r="H463" s="9">
        <f>IF($D463="","",ROUNDUP(MONTH($D463)/3,0))</f>
        <v/>
      </c>
    </row>
    <row r="464">
      <c r="A464" s="6" t="n"/>
      <c r="B464" s="6" t="n"/>
      <c r="C464" s="8" t="n"/>
      <c r="D464" s="14" t="n"/>
      <c r="E464" s="6" t="n"/>
      <c r="F464" s="6">
        <f>IF($B464="","",IFERROR(VLOOKUP($B464,Agents!$A:$C,3,FALSE),"؟"))</f>
        <v/>
      </c>
      <c r="G464" s="6">
        <f>IF($D464="","",YEAR($D464))</f>
        <v/>
      </c>
      <c r="H464" s="6">
        <f>IF($D464="","",ROUNDUP(MONTH($D464)/3,0))</f>
        <v/>
      </c>
    </row>
    <row r="465">
      <c r="A465" s="9" t="n"/>
      <c r="B465" s="9" t="n"/>
      <c r="C465" s="10" t="n"/>
      <c r="D465" s="16" t="n"/>
      <c r="E465" s="9" t="n"/>
      <c r="F465" s="9">
        <f>IF($B465="","",IFERROR(VLOOKUP($B465,Agents!$A:$C,3,FALSE),"؟"))</f>
        <v/>
      </c>
      <c r="G465" s="9">
        <f>IF($D465="","",YEAR($D465))</f>
        <v/>
      </c>
      <c r="H465" s="9">
        <f>IF($D465="","",ROUNDUP(MONTH($D465)/3,0))</f>
        <v/>
      </c>
    </row>
    <row r="466">
      <c r="A466" s="6" t="n"/>
      <c r="B466" s="6" t="n"/>
      <c r="C466" s="8" t="n"/>
      <c r="D466" s="14" t="n"/>
      <c r="E466" s="6" t="n"/>
      <c r="F466" s="6">
        <f>IF($B466="","",IFERROR(VLOOKUP($B466,Agents!$A:$C,3,FALSE),"؟"))</f>
        <v/>
      </c>
      <c r="G466" s="6">
        <f>IF($D466="","",YEAR($D466))</f>
        <v/>
      </c>
      <c r="H466" s="6">
        <f>IF($D466="","",ROUNDUP(MONTH($D466)/3,0))</f>
        <v/>
      </c>
    </row>
    <row r="467">
      <c r="A467" s="9" t="n"/>
      <c r="B467" s="9" t="n"/>
      <c r="C467" s="10" t="n"/>
      <c r="D467" s="16" t="n"/>
      <c r="E467" s="9" t="n"/>
      <c r="F467" s="9">
        <f>IF($B467="","",IFERROR(VLOOKUP($B467,Agents!$A:$C,3,FALSE),"؟"))</f>
        <v/>
      </c>
      <c r="G467" s="9">
        <f>IF($D467="","",YEAR($D467))</f>
        <v/>
      </c>
      <c r="H467" s="9">
        <f>IF($D467="","",ROUNDUP(MONTH($D467)/3,0))</f>
        <v/>
      </c>
    </row>
    <row r="468">
      <c r="A468" s="6" t="n"/>
      <c r="B468" s="6" t="n"/>
      <c r="C468" s="8" t="n"/>
      <c r="D468" s="14" t="n"/>
      <c r="E468" s="6" t="n"/>
      <c r="F468" s="6">
        <f>IF($B468="","",IFERROR(VLOOKUP($B468,Agents!$A:$C,3,FALSE),"؟"))</f>
        <v/>
      </c>
      <c r="G468" s="6">
        <f>IF($D468="","",YEAR($D468))</f>
        <v/>
      </c>
      <c r="H468" s="6">
        <f>IF($D468="","",ROUNDUP(MONTH($D468)/3,0))</f>
        <v/>
      </c>
    </row>
    <row r="469">
      <c r="A469" s="9" t="n"/>
      <c r="B469" s="9" t="n"/>
      <c r="C469" s="10" t="n"/>
      <c r="D469" s="16" t="n"/>
      <c r="E469" s="9" t="n"/>
      <c r="F469" s="9">
        <f>IF($B469="","",IFERROR(VLOOKUP($B469,Agents!$A:$C,3,FALSE),"؟"))</f>
        <v/>
      </c>
      <c r="G469" s="9">
        <f>IF($D469="","",YEAR($D469))</f>
        <v/>
      </c>
      <c r="H469" s="9">
        <f>IF($D469="","",ROUNDUP(MONTH($D469)/3,0))</f>
        <v/>
      </c>
    </row>
    <row r="470">
      <c r="A470" s="6" t="n"/>
      <c r="B470" s="6" t="n"/>
      <c r="C470" s="8" t="n"/>
      <c r="D470" s="14" t="n"/>
      <c r="E470" s="6" t="n"/>
      <c r="F470" s="6">
        <f>IF($B470="","",IFERROR(VLOOKUP($B470,Agents!$A:$C,3,FALSE),"؟"))</f>
        <v/>
      </c>
      <c r="G470" s="6">
        <f>IF($D470="","",YEAR($D470))</f>
        <v/>
      </c>
      <c r="H470" s="6">
        <f>IF($D470="","",ROUNDUP(MONTH($D470)/3,0))</f>
        <v/>
      </c>
    </row>
    <row r="471">
      <c r="A471" s="9" t="n"/>
      <c r="B471" s="9" t="n"/>
      <c r="C471" s="10" t="n"/>
      <c r="D471" s="16" t="n"/>
      <c r="E471" s="9" t="n"/>
      <c r="F471" s="9">
        <f>IF($B471="","",IFERROR(VLOOKUP($B471,Agents!$A:$C,3,FALSE),"؟"))</f>
        <v/>
      </c>
      <c r="G471" s="9">
        <f>IF($D471="","",YEAR($D471))</f>
        <v/>
      </c>
      <c r="H471" s="9">
        <f>IF($D471="","",ROUNDUP(MONTH($D471)/3,0))</f>
        <v/>
      </c>
    </row>
    <row r="472">
      <c r="A472" s="6" t="n"/>
      <c r="B472" s="6" t="n"/>
      <c r="C472" s="8" t="n"/>
      <c r="D472" s="14" t="n"/>
      <c r="E472" s="6" t="n"/>
      <c r="F472" s="6">
        <f>IF($B472="","",IFERROR(VLOOKUP($B472,Agents!$A:$C,3,FALSE),"؟"))</f>
        <v/>
      </c>
      <c r="G472" s="6">
        <f>IF($D472="","",YEAR($D472))</f>
        <v/>
      </c>
      <c r="H472" s="6">
        <f>IF($D472="","",ROUNDUP(MONTH($D472)/3,0))</f>
        <v/>
      </c>
    </row>
    <row r="473">
      <c r="A473" s="9" t="n"/>
      <c r="B473" s="9" t="n"/>
      <c r="C473" s="10" t="n"/>
      <c r="D473" s="16" t="n"/>
      <c r="E473" s="9" t="n"/>
      <c r="F473" s="9">
        <f>IF($B473="","",IFERROR(VLOOKUP($B473,Agents!$A:$C,3,FALSE),"؟"))</f>
        <v/>
      </c>
      <c r="G473" s="9">
        <f>IF($D473="","",YEAR($D473))</f>
        <v/>
      </c>
      <c r="H473" s="9">
        <f>IF($D473="","",ROUNDUP(MONTH($D473)/3,0))</f>
        <v/>
      </c>
    </row>
    <row r="474">
      <c r="A474" s="6" t="n"/>
      <c r="B474" s="6" t="n"/>
      <c r="C474" s="8" t="n"/>
      <c r="D474" s="14" t="n"/>
      <c r="E474" s="6" t="n"/>
      <c r="F474" s="6">
        <f>IF($B474="","",IFERROR(VLOOKUP($B474,Agents!$A:$C,3,FALSE),"؟"))</f>
        <v/>
      </c>
      <c r="G474" s="6">
        <f>IF($D474="","",YEAR($D474))</f>
        <v/>
      </c>
      <c r="H474" s="6">
        <f>IF($D474="","",ROUNDUP(MONTH($D474)/3,0))</f>
        <v/>
      </c>
    </row>
    <row r="475">
      <c r="A475" s="9" t="n"/>
      <c r="B475" s="9" t="n"/>
      <c r="C475" s="10" t="n"/>
      <c r="D475" s="16" t="n"/>
      <c r="E475" s="9" t="n"/>
      <c r="F475" s="9">
        <f>IF($B475="","",IFERROR(VLOOKUP($B475,Agents!$A:$C,3,FALSE),"؟"))</f>
        <v/>
      </c>
      <c r="G475" s="9">
        <f>IF($D475="","",YEAR($D475))</f>
        <v/>
      </c>
      <c r="H475" s="9">
        <f>IF($D475="","",ROUNDUP(MONTH($D475)/3,0))</f>
        <v/>
      </c>
    </row>
    <row r="476">
      <c r="A476" s="6" t="n"/>
      <c r="B476" s="6" t="n"/>
      <c r="C476" s="8" t="n"/>
      <c r="D476" s="14" t="n"/>
      <c r="E476" s="6" t="n"/>
      <c r="F476" s="6">
        <f>IF($B476="","",IFERROR(VLOOKUP($B476,Agents!$A:$C,3,FALSE),"؟"))</f>
        <v/>
      </c>
      <c r="G476" s="6">
        <f>IF($D476="","",YEAR($D476))</f>
        <v/>
      </c>
      <c r="H476" s="6">
        <f>IF($D476="","",ROUNDUP(MONTH($D476)/3,0))</f>
        <v/>
      </c>
    </row>
    <row r="477">
      <c r="A477" s="9" t="n"/>
      <c r="B477" s="9" t="n"/>
      <c r="C477" s="10" t="n"/>
      <c r="D477" s="16" t="n"/>
      <c r="E477" s="9" t="n"/>
      <c r="F477" s="9">
        <f>IF($B477="","",IFERROR(VLOOKUP($B477,Agents!$A:$C,3,FALSE),"؟"))</f>
        <v/>
      </c>
      <c r="G477" s="9">
        <f>IF($D477="","",YEAR($D477))</f>
        <v/>
      </c>
      <c r="H477" s="9">
        <f>IF($D477="","",ROUNDUP(MONTH($D477)/3,0))</f>
        <v/>
      </c>
    </row>
    <row r="478">
      <c r="A478" s="6" t="n"/>
      <c r="B478" s="6" t="n"/>
      <c r="C478" s="8" t="n"/>
      <c r="D478" s="14" t="n"/>
      <c r="E478" s="6" t="n"/>
      <c r="F478" s="6">
        <f>IF($B478="","",IFERROR(VLOOKUP($B478,Agents!$A:$C,3,FALSE),"؟"))</f>
        <v/>
      </c>
      <c r="G478" s="6">
        <f>IF($D478="","",YEAR($D478))</f>
        <v/>
      </c>
      <c r="H478" s="6">
        <f>IF($D478="","",ROUNDUP(MONTH($D478)/3,0))</f>
        <v/>
      </c>
    </row>
    <row r="479">
      <c r="A479" s="9" t="n"/>
      <c r="B479" s="9" t="n"/>
      <c r="C479" s="10" t="n"/>
      <c r="D479" s="16" t="n"/>
      <c r="E479" s="9" t="n"/>
      <c r="F479" s="9">
        <f>IF($B479="","",IFERROR(VLOOKUP($B479,Agents!$A:$C,3,FALSE),"؟"))</f>
        <v/>
      </c>
      <c r="G479" s="9">
        <f>IF($D479="","",YEAR($D479))</f>
        <v/>
      </c>
      <c r="H479" s="9">
        <f>IF($D479="","",ROUNDUP(MONTH($D479)/3,0))</f>
        <v/>
      </c>
    </row>
    <row r="480">
      <c r="A480" s="6" t="n"/>
      <c r="B480" s="6" t="n"/>
      <c r="C480" s="8" t="n"/>
      <c r="D480" s="14" t="n"/>
      <c r="E480" s="6" t="n"/>
      <c r="F480" s="6">
        <f>IF($B480="","",IFERROR(VLOOKUP($B480,Agents!$A:$C,3,FALSE),"؟"))</f>
        <v/>
      </c>
      <c r="G480" s="6">
        <f>IF($D480="","",YEAR($D480))</f>
        <v/>
      </c>
      <c r="H480" s="6">
        <f>IF($D480="","",ROUNDUP(MONTH($D480)/3,0))</f>
        <v/>
      </c>
    </row>
    <row r="481">
      <c r="A481" s="9" t="n"/>
      <c r="B481" s="9" t="n"/>
      <c r="C481" s="10" t="n"/>
      <c r="D481" s="16" t="n"/>
      <c r="E481" s="9" t="n"/>
      <c r="F481" s="9">
        <f>IF($B481="","",IFERROR(VLOOKUP($B481,Agents!$A:$C,3,FALSE),"؟"))</f>
        <v/>
      </c>
      <c r="G481" s="9">
        <f>IF($D481="","",YEAR($D481))</f>
        <v/>
      </c>
      <c r="H481" s="9">
        <f>IF($D481="","",ROUNDUP(MONTH($D481)/3,0))</f>
        <v/>
      </c>
    </row>
    <row r="482">
      <c r="A482" s="6" t="n"/>
      <c r="B482" s="6" t="n"/>
      <c r="C482" s="8" t="n"/>
      <c r="D482" s="14" t="n"/>
      <c r="E482" s="6" t="n"/>
      <c r="F482" s="6">
        <f>IF($B482="","",IFERROR(VLOOKUP($B482,Agents!$A:$C,3,FALSE),"؟"))</f>
        <v/>
      </c>
      <c r="G482" s="6">
        <f>IF($D482="","",YEAR($D482))</f>
        <v/>
      </c>
      <c r="H482" s="6">
        <f>IF($D482="","",ROUNDUP(MONTH($D482)/3,0))</f>
        <v/>
      </c>
    </row>
    <row r="483">
      <c r="A483" s="9" t="n"/>
      <c r="B483" s="9" t="n"/>
      <c r="C483" s="10" t="n"/>
      <c r="D483" s="16" t="n"/>
      <c r="E483" s="9" t="n"/>
      <c r="F483" s="9">
        <f>IF($B483="","",IFERROR(VLOOKUP($B483,Agents!$A:$C,3,FALSE),"؟"))</f>
        <v/>
      </c>
      <c r="G483" s="9">
        <f>IF($D483="","",YEAR($D483))</f>
        <v/>
      </c>
      <c r="H483" s="9">
        <f>IF($D483="","",ROUNDUP(MONTH($D483)/3,0))</f>
        <v/>
      </c>
    </row>
    <row r="484">
      <c r="A484" s="6" t="n"/>
      <c r="B484" s="6" t="n"/>
      <c r="C484" s="8" t="n"/>
      <c r="D484" s="14" t="n"/>
      <c r="E484" s="6" t="n"/>
      <c r="F484" s="6">
        <f>IF($B484="","",IFERROR(VLOOKUP($B484,Agents!$A:$C,3,FALSE),"؟"))</f>
        <v/>
      </c>
      <c r="G484" s="6">
        <f>IF($D484="","",YEAR($D484))</f>
        <v/>
      </c>
      <c r="H484" s="6">
        <f>IF($D484="","",ROUNDUP(MONTH($D484)/3,0))</f>
        <v/>
      </c>
    </row>
    <row r="485">
      <c r="A485" s="9" t="n"/>
      <c r="B485" s="9" t="n"/>
      <c r="C485" s="10" t="n"/>
      <c r="D485" s="16" t="n"/>
      <c r="E485" s="9" t="n"/>
      <c r="F485" s="9">
        <f>IF($B485="","",IFERROR(VLOOKUP($B485,Agents!$A:$C,3,FALSE),"؟"))</f>
        <v/>
      </c>
      <c r="G485" s="9">
        <f>IF($D485="","",YEAR($D485))</f>
        <v/>
      </c>
      <c r="H485" s="9">
        <f>IF($D485="","",ROUNDUP(MONTH($D485)/3,0))</f>
        <v/>
      </c>
    </row>
    <row r="486">
      <c r="A486" s="6" t="n"/>
      <c r="B486" s="6" t="n"/>
      <c r="C486" s="8" t="n"/>
      <c r="D486" s="14" t="n"/>
      <c r="E486" s="6" t="n"/>
      <c r="F486" s="6">
        <f>IF($B486="","",IFERROR(VLOOKUP($B486,Agents!$A:$C,3,FALSE),"؟"))</f>
        <v/>
      </c>
      <c r="G486" s="6">
        <f>IF($D486="","",YEAR($D486))</f>
        <v/>
      </c>
      <c r="H486" s="6">
        <f>IF($D486="","",ROUNDUP(MONTH($D486)/3,0))</f>
        <v/>
      </c>
    </row>
    <row r="487">
      <c r="A487" s="9" t="n"/>
      <c r="B487" s="9" t="n"/>
      <c r="C487" s="10" t="n"/>
      <c r="D487" s="16" t="n"/>
      <c r="E487" s="9" t="n"/>
      <c r="F487" s="9">
        <f>IF($B487="","",IFERROR(VLOOKUP($B487,Agents!$A:$C,3,FALSE),"؟"))</f>
        <v/>
      </c>
      <c r="G487" s="9">
        <f>IF($D487="","",YEAR($D487))</f>
        <v/>
      </c>
      <c r="H487" s="9">
        <f>IF($D487="","",ROUNDUP(MONTH($D487)/3,0))</f>
        <v/>
      </c>
    </row>
    <row r="488">
      <c r="A488" s="6" t="n"/>
      <c r="B488" s="6" t="n"/>
      <c r="C488" s="8" t="n"/>
      <c r="D488" s="14" t="n"/>
      <c r="E488" s="6" t="n"/>
      <c r="F488" s="6">
        <f>IF($B488="","",IFERROR(VLOOKUP($B488,Agents!$A:$C,3,FALSE),"؟"))</f>
        <v/>
      </c>
      <c r="G488" s="6">
        <f>IF($D488="","",YEAR($D488))</f>
        <v/>
      </c>
      <c r="H488" s="6">
        <f>IF($D488="","",ROUNDUP(MONTH($D488)/3,0))</f>
        <v/>
      </c>
    </row>
    <row r="489">
      <c r="A489" s="9" t="n"/>
      <c r="B489" s="9" t="n"/>
      <c r="C489" s="10" t="n"/>
      <c r="D489" s="16" t="n"/>
      <c r="E489" s="9" t="n"/>
      <c r="F489" s="9">
        <f>IF($B489="","",IFERROR(VLOOKUP($B489,Agents!$A:$C,3,FALSE),"؟"))</f>
        <v/>
      </c>
      <c r="G489" s="9">
        <f>IF($D489="","",YEAR($D489))</f>
        <v/>
      </c>
      <c r="H489" s="9">
        <f>IF($D489="","",ROUNDUP(MONTH($D489)/3,0))</f>
        <v/>
      </c>
    </row>
    <row r="490">
      <c r="A490" s="6" t="n"/>
      <c r="B490" s="6" t="n"/>
      <c r="C490" s="8" t="n"/>
      <c r="D490" s="14" t="n"/>
      <c r="E490" s="6" t="n"/>
      <c r="F490" s="6">
        <f>IF($B490="","",IFERROR(VLOOKUP($B490,Agents!$A:$C,3,FALSE),"؟"))</f>
        <v/>
      </c>
      <c r="G490" s="6">
        <f>IF($D490="","",YEAR($D490))</f>
        <v/>
      </c>
      <c r="H490" s="6">
        <f>IF($D490="","",ROUNDUP(MONTH($D490)/3,0))</f>
        <v/>
      </c>
    </row>
    <row r="491">
      <c r="A491" s="9" t="n"/>
      <c r="B491" s="9" t="n"/>
      <c r="C491" s="10" t="n"/>
      <c r="D491" s="16" t="n"/>
      <c r="E491" s="9" t="n"/>
      <c r="F491" s="9">
        <f>IF($B491="","",IFERROR(VLOOKUP($B491,Agents!$A:$C,3,FALSE),"؟"))</f>
        <v/>
      </c>
      <c r="G491" s="9">
        <f>IF($D491="","",YEAR($D491))</f>
        <v/>
      </c>
      <c r="H491" s="9">
        <f>IF($D491="","",ROUNDUP(MONTH($D491)/3,0))</f>
        <v/>
      </c>
    </row>
    <row r="492">
      <c r="A492" s="6" t="n"/>
      <c r="B492" s="6" t="n"/>
      <c r="C492" s="8" t="n"/>
      <c r="D492" s="14" t="n"/>
      <c r="E492" s="6" t="n"/>
      <c r="F492" s="6">
        <f>IF($B492="","",IFERROR(VLOOKUP($B492,Agents!$A:$C,3,FALSE),"؟"))</f>
        <v/>
      </c>
      <c r="G492" s="6">
        <f>IF($D492="","",YEAR($D492))</f>
        <v/>
      </c>
      <c r="H492" s="6">
        <f>IF($D492="","",ROUNDUP(MONTH($D492)/3,0))</f>
        <v/>
      </c>
    </row>
    <row r="493">
      <c r="A493" s="9" t="n"/>
      <c r="B493" s="9" t="n"/>
      <c r="C493" s="10" t="n"/>
      <c r="D493" s="16" t="n"/>
      <c r="E493" s="9" t="n"/>
      <c r="F493" s="9">
        <f>IF($B493="","",IFERROR(VLOOKUP($B493,Agents!$A:$C,3,FALSE),"؟"))</f>
        <v/>
      </c>
      <c r="G493" s="9">
        <f>IF($D493="","",YEAR($D493))</f>
        <v/>
      </c>
      <c r="H493" s="9">
        <f>IF($D493="","",ROUNDUP(MONTH($D493)/3,0))</f>
        <v/>
      </c>
    </row>
    <row r="494">
      <c r="A494" s="6" t="n"/>
      <c r="B494" s="6" t="n"/>
      <c r="C494" s="8" t="n"/>
      <c r="D494" s="14" t="n"/>
      <c r="E494" s="6" t="n"/>
      <c r="F494" s="6">
        <f>IF($B494="","",IFERROR(VLOOKUP($B494,Agents!$A:$C,3,FALSE),"؟"))</f>
        <v/>
      </c>
      <c r="G494" s="6">
        <f>IF($D494="","",YEAR($D494))</f>
        <v/>
      </c>
      <c r="H494" s="6">
        <f>IF($D494="","",ROUNDUP(MONTH($D494)/3,0))</f>
        <v/>
      </c>
    </row>
    <row r="495">
      <c r="A495" s="9" t="n"/>
      <c r="B495" s="9" t="n"/>
      <c r="C495" s="10" t="n"/>
      <c r="D495" s="16" t="n"/>
      <c r="E495" s="9" t="n"/>
      <c r="F495" s="9">
        <f>IF($B495="","",IFERROR(VLOOKUP($B495,Agents!$A:$C,3,FALSE),"؟"))</f>
        <v/>
      </c>
      <c r="G495" s="9">
        <f>IF($D495="","",YEAR($D495))</f>
        <v/>
      </c>
      <c r="H495" s="9">
        <f>IF($D495="","",ROUNDUP(MONTH($D495)/3,0))</f>
        <v/>
      </c>
    </row>
    <row r="496">
      <c r="A496" s="6" t="n"/>
      <c r="B496" s="6" t="n"/>
      <c r="C496" s="8" t="n"/>
      <c r="D496" s="14" t="n"/>
      <c r="E496" s="6" t="n"/>
      <c r="F496" s="6">
        <f>IF($B496="","",IFERROR(VLOOKUP($B496,Agents!$A:$C,3,FALSE),"؟"))</f>
        <v/>
      </c>
      <c r="G496" s="6">
        <f>IF($D496="","",YEAR($D496))</f>
        <v/>
      </c>
      <c r="H496" s="6">
        <f>IF($D496="","",ROUNDUP(MONTH($D496)/3,0))</f>
        <v/>
      </c>
    </row>
    <row r="497">
      <c r="A497" s="9" t="n"/>
      <c r="B497" s="9" t="n"/>
      <c r="C497" s="10" t="n"/>
      <c r="D497" s="16" t="n"/>
      <c r="E497" s="9" t="n"/>
      <c r="F497" s="9">
        <f>IF($B497="","",IFERROR(VLOOKUP($B497,Agents!$A:$C,3,FALSE),"؟"))</f>
        <v/>
      </c>
      <c r="G497" s="9">
        <f>IF($D497="","",YEAR($D497))</f>
        <v/>
      </c>
      <c r="H497" s="9">
        <f>IF($D497="","",ROUNDUP(MONTH($D497)/3,0))</f>
        <v/>
      </c>
    </row>
    <row r="498">
      <c r="A498" s="6" t="n"/>
      <c r="B498" s="6" t="n"/>
      <c r="C498" s="8" t="n"/>
      <c r="D498" s="14" t="n"/>
      <c r="E498" s="6" t="n"/>
      <c r="F498" s="6">
        <f>IF($B498="","",IFERROR(VLOOKUP($B498,Agents!$A:$C,3,FALSE),"؟"))</f>
        <v/>
      </c>
      <c r="G498" s="6">
        <f>IF($D498="","",YEAR($D498))</f>
        <v/>
      </c>
      <c r="H498" s="6">
        <f>IF($D498="","",ROUNDUP(MONTH($D498)/3,0))</f>
        <v/>
      </c>
    </row>
    <row r="499">
      <c r="A499" s="9" t="n"/>
      <c r="B499" s="9" t="n"/>
      <c r="C499" s="10" t="n"/>
      <c r="D499" s="16" t="n"/>
      <c r="E499" s="9" t="n"/>
      <c r="F499" s="9">
        <f>IF($B499="","",IFERROR(VLOOKUP($B499,Agents!$A:$C,3,FALSE),"؟"))</f>
        <v/>
      </c>
      <c r="G499" s="9">
        <f>IF($D499="","",YEAR($D499))</f>
        <v/>
      </c>
      <c r="H499" s="9">
        <f>IF($D499="","",ROUNDUP(MONTH($D499)/3,0))</f>
        <v/>
      </c>
    </row>
    <row r="500">
      <c r="A500" s="6" t="n"/>
      <c r="B500" s="6" t="n"/>
      <c r="C500" s="8" t="n"/>
      <c r="D500" s="14" t="n"/>
      <c r="E500" s="6" t="n"/>
      <c r="F500" s="6">
        <f>IF($B500="","",IFERROR(VLOOKUP($B500,Agents!$A:$C,3,FALSE),"؟"))</f>
        <v/>
      </c>
      <c r="G500" s="6">
        <f>IF($D500="","",YEAR($D500))</f>
        <v/>
      </c>
      <c r="H500" s="6">
        <f>IF($D500="","",ROUNDUP(MONTH($D500)/3,0))</f>
        <v/>
      </c>
    </row>
    <row r="501">
      <c r="A501" s="9" t="n"/>
      <c r="B501" s="9" t="n"/>
      <c r="C501" s="10" t="n"/>
      <c r="D501" s="16" t="n"/>
      <c r="E501" s="9" t="n"/>
      <c r="F501" s="9">
        <f>IF($B501="","",IFERROR(VLOOKUP($B501,Agents!$A:$C,3,FALSE),"؟"))</f>
        <v/>
      </c>
      <c r="G501" s="9">
        <f>IF($D501="","",YEAR($D501))</f>
        <v/>
      </c>
      <c r="H501" s="9">
        <f>IF($D501="","",ROUNDUP(MONTH($D501)/3,0))</f>
        <v/>
      </c>
    </row>
    <row r="502">
      <c r="A502" s="6" t="n"/>
      <c r="B502" s="6" t="n"/>
      <c r="C502" s="8" t="n"/>
      <c r="D502" s="14" t="n"/>
      <c r="E502" s="6" t="n"/>
      <c r="F502" s="6">
        <f>IF($B502="","",IFERROR(VLOOKUP($B502,Agents!$A:$C,3,FALSE),"؟"))</f>
        <v/>
      </c>
      <c r="G502" s="6">
        <f>IF($D502="","",YEAR($D502))</f>
        <v/>
      </c>
      <c r="H502" s="6">
        <f>IF($D502="","",ROUNDUP(MONTH($D502)/3,0))</f>
        <v/>
      </c>
    </row>
    <row r="503">
      <c r="A503" s="9" t="n"/>
      <c r="B503" s="9" t="n"/>
      <c r="C503" s="10" t="n"/>
      <c r="D503" s="16" t="n"/>
      <c r="E503" s="9" t="n"/>
      <c r="F503" s="9">
        <f>IF($B503="","",IFERROR(VLOOKUP($B503,Agents!$A:$C,3,FALSE),"؟"))</f>
        <v/>
      </c>
      <c r="G503" s="9">
        <f>IF($D503="","",YEAR($D503))</f>
        <v/>
      </c>
      <c r="H503" s="9">
        <f>IF($D503="","",ROUNDUP(MONTH($D503)/3,0))</f>
        <v/>
      </c>
    </row>
    <row r="504">
      <c r="A504" s="6" t="n"/>
      <c r="B504" s="6" t="n"/>
      <c r="C504" s="8" t="n"/>
      <c r="D504" s="14" t="n"/>
      <c r="E504" s="6" t="n"/>
      <c r="F504" s="6">
        <f>IF($B504="","",IFERROR(VLOOKUP($B504,Agents!$A:$C,3,FALSE),"؟"))</f>
        <v/>
      </c>
      <c r="G504" s="6">
        <f>IF($D504="","",YEAR($D504))</f>
        <v/>
      </c>
      <c r="H504" s="6">
        <f>IF($D504="","",ROUNDUP(MONTH($D504)/3,0))</f>
        <v/>
      </c>
    </row>
    <row r="505">
      <c r="A505" s="9" t="n"/>
      <c r="B505" s="9" t="n"/>
      <c r="C505" s="10" t="n"/>
      <c r="D505" s="16" t="n"/>
      <c r="E505" s="9" t="n"/>
      <c r="F505" s="9">
        <f>IF($B505="","",IFERROR(VLOOKUP($B505,Agents!$A:$C,3,FALSE),"؟"))</f>
        <v/>
      </c>
      <c r="G505" s="9">
        <f>IF($D505="","",YEAR($D505))</f>
        <v/>
      </c>
      <c r="H505" s="9">
        <f>IF($D505="","",ROUNDUP(MONTH($D505)/3,0))</f>
        <v/>
      </c>
    </row>
    <row r="506">
      <c r="A506" s="6" t="n"/>
      <c r="B506" s="6" t="n"/>
      <c r="C506" s="8" t="n"/>
      <c r="D506" s="14" t="n"/>
      <c r="E506" s="6" t="n"/>
      <c r="F506" s="6">
        <f>IF($B506="","",IFERROR(VLOOKUP($B506,Agents!$A:$C,3,FALSE),"؟"))</f>
        <v/>
      </c>
      <c r="G506" s="6">
        <f>IF($D506="","",YEAR($D506))</f>
        <v/>
      </c>
      <c r="H506" s="6">
        <f>IF($D506="","",ROUNDUP(MONTH($D506)/3,0))</f>
        <v/>
      </c>
    </row>
    <row r="507">
      <c r="A507" s="9" t="n"/>
      <c r="B507" s="9" t="n"/>
      <c r="C507" s="10" t="n"/>
      <c r="D507" s="16" t="n"/>
      <c r="E507" s="9" t="n"/>
      <c r="F507" s="9">
        <f>IF($B507="","",IFERROR(VLOOKUP($B507,Agents!$A:$C,3,FALSE),"؟"))</f>
        <v/>
      </c>
      <c r="G507" s="9">
        <f>IF($D507="","",YEAR($D507))</f>
        <v/>
      </c>
      <c r="H507" s="9">
        <f>IF($D507="","",ROUNDUP(MONTH($D507)/3,0))</f>
        <v/>
      </c>
    </row>
    <row r="508">
      <c r="A508" s="6" t="n"/>
      <c r="B508" s="6" t="n"/>
      <c r="C508" s="8" t="n"/>
      <c r="D508" s="14" t="n"/>
      <c r="E508" s="6" t="n"/>
      <c r="F508" s="6">
        <f>IF($B508="","",IFERROR(VLOOKUP($B508,Agents!$A:$C,3,FALSE),"؟"))</f>
        <v/>
      </c>
      <c r="G508" s="6">
        <f>IF($D508="","",YEAR($D508))</f>
        <v/>
      </c>
      <c r="H508" s="6">
        <f>IF($D508="","",ROUNDUP(MONTH($D508)/3,0))</f>
        <v/>
      </c>
    </row>
    <row r="509">
      <c r="A509" s="9" t="n"/>
      <c r="B509" s="9" t="n"/>
      <c r="C509" s="10" t="n"/>
      <c r="D509" s="16" t="n"/>
      <c r="E509" s="9" t="n"/>
      <c r="F509" s="9">
        <f>IF($B509="","",IFERROR(VLOOKUP($B509,Agents!$A:$C,3,FALSE),"؟"))</f>
        <v/>
      </c>
      <c r="G509" s="9">
        <f>IF($D509="","",YEAR($D509))</f>
        <v/>
      </c>
      <c r="H509" s="9">
        <f>IF($D509="","",ROUNDUP(MONTH($D509)/3,0))</f>
        <v/>
      </c>
    </row>
    <row r="510">
      <c r="A510" s="6" t="n"/>
      <c r="B510" s="6" t="n"/>
      <c r="C510" s="8" t="n"/>
      <c r="D510" s="14" t="n"/>
      <c r="E510" s="6" t="n"/>
      <c r="F510" s="6">
        <f>IF($B510="","",IFERROR(VLOOKUP($B510,Agents!$A:$C,3,FALSE),"؟"))</f>
        <v/>
      </c>
      <c r="G510" s="6">
        <f>IF($D510="","",YEAR($D510))</f>
        <v/>
      </c>
      <c r="H510" s="6">
        <f>IF($D510="","",ROUNDUP(MONTH($D510)/3,0))</f>
        <v/>
      </c>
    </row>
    <row r="511">
      <c r="A511" s="9" t="n"/>
      <c r="B511" s="9" t="n"/>
      <c r="C511" s="10" t="n"/>
      <c r="D511" s="16" t="n"/>
      <c r="E511" s="9" t="n"/>
      <c r="F511" s="9">
        <f>IF($B511="","",IFERROR(VLOOKUP($B511,Agents!$A:$C,3,FALSE),"؟"))</f>
        <v/>
      </c>
      <c r="G511" s="9">
        <f>IF($D511="","",YEAR($D511))</f>
        <v/>
      </c>
      <c r="H511" s="9">
        <f>IF($D511="","",ROUNDUP(MONTH($D511)/3,0))</f>
        <v/>
      </c>
    </row>
    <row r="512">
      <c r="A512" s="6" t="n"/>
      <c r="B512" s="6" t="n"/>
      <c r="C512" s="8" t="n"/>
      <c r="D512" s="14" t="n"/>
      <c r="E512" s="6" t="n"/>
      <c r="F512" s="6">
        <f>IF($B512="","",IFERROR(VLOOKUP($B512,Agents!$A:$C,3,FALSE),"؟"))</f>
        <v/>
      </c>
      <c r="G512" s="6">
        <f>IF($D512="","",YEAR($D512))</f>
        <v/>
      </c>
      <c r="H512" s="6">
        <f>IF($D512="","",ROUNDUP(MONTH($D512)/3,0))</f>
        <v/>
      </c>
    </row>
    <row r="513">
      <c r="A513" s="9" t="n"/>
      <c r="B513" s="9" t="n"/>
      <c r="C513" s="10" t="n"/>
      <c r="D513" s="16" t="n"/>
      <c r="E513" s="9" t="n"/>
      <c r="F513" s="9">
        <f>IF($B513="","",IFERROR(VLOOKUP($B513,Agents!$A:$C,3,FALSE),"؟"))</f>
        <v/>
      </c>
      <c r="G513" s="9">
        <f>IF($D513="","",YEAR($D513))</f>
        <v/>
      </c>
      <c r="H513" s="9">
        <f>IF($D513="","",ROUNDUP(MONTH($D513)/3,0))</f>
        <v/>
      </c>
    </row>
    <row r="514">
      <c r="A514" s="6" t="n"/>
      <c r="B514" s="6" t="n"/>
      <c r="C514" s="8" t="n"/>
      <c r="D514" s="14" t="n"/>
      <c r="E514" s="6" t="n"/>
      <c r="F514" s="6">
        <f>IF($B514="","",IFERROR(VLOOKUP($B514,Agents!$A:$C,3,FALSE),"؟"))</f>
        <v/>
      </c>
      <c r="G514" s="6">
        <f>IF($D514="","",YEAR($D514))</f>
        <v/>
      </c>
      <c r="H514" s="6">
        <f>IF($D514="","",ROUNDUP(MONTH($D514)/3,0))</f>
        <v/>
      </c>
    </row>
    <row r="515">
      <c r="A515" s="9" t="n"/>
      <c r="B515" s="9" t="n"/>
      <c r="C515" s="10" t="n"/>
      <c r="D515" s="16" t="n"/>
      <c r="E515" s="9" t="n"/>
      <c r="F515" s="9">
        <f>IF($B515="","",IFERROR(VLOOKUP($B515,Agents!$A:$C,3,FALSE),"؟"))</f>
        <v/>
      </c>
      <c r="G515" s="9">
        <f>IF($D515="","",YEAR($D515))</f>
        <v/>
      </c>
      <c r="H515" s="9">
        <f>IF($D515="","",ROUNDUP(MONTH($D515)/3,0))</f>
        <v/>
      </c>
    </row>
    <row r="516">
      <c r="A516" s="6" t="n"/>
      <c r="B516" s="6" t="n"/>
      <c r="C516" s="8" t="n"/>
      <c r="D516" s="14" t="n"/>
      <c r="E516" s="6" t="n"/>
      <c r="F516" s="6">
        <f>IF($B516="","",IFERROR(VLOOKUP($B516,Agents!$A:$C,3,FALSE),"؟"))</f>
        <v/>
      </c>
      <c r="G516" s="6">
        <f>IF($D516="","",YEAR($D516))</f>
        <v/>
      </c>
      <c r="H516" s="6">
        <f>IF($D516="","",ROUNDUP(MONTH($D516)/3,0))</f>
        <v/>
      </c>
    </row>
    <row r="517">
      <c r="A517" s="9" t="n"/>
      <c r="B517" s="9" t="n"/>
      <c r="C517" s="10" t="n"/>
      <c r="D517" s="16" t="n"/>
      <c r="E517" s="9" t="n"/>
      <c r="F517" s="9">
        <f>IF($B517="","",IFERROR(VLOOKUP($B517,Agents!$A:$C,3,FALSE),"؟"))</f>
        <v/>
      </c>
      <c r="G517" s="9">
        <f>IF($D517="","",YEAR($D517))</f>
        <v/>
      </c>
      <c r="H517" s="9">
        <f>IF($D517="","",ROUNDUP(MONTH($D517)/3,0))</f>
        <v/>
      </c>
    </row>
    <row r="518">
      <c r="A518" s="6" t="n"/>
      <c r="B518" s="6" t="n"/>
      <c r="C518" s="8" t="n"/>
      <c r="D518" s="14" t="n"/>
      <c r="E518" s="6" t="n"/>
      <c r="F518" s="6">
        <f>IF($B518="","",IFERROR(VLOOKUP($B518,Agents!$A:$C,3,FALSE),"؟"))</f>
        <v/>
      </c>
      <c r="G518" s="6">
        <f>IF($D518="","",YEAR($D518))</f>
        <v/>
      </c>
      <c r="H518" s="6">
        <f>IF($D518="","",ROUNDUP(MONTH($D518)/3,0))</f>
        <v/>
      </c>
    </row>
    <row r="519">
      <c r="A519" s="9" t="n"/>
      <c r="B519" s="9" t="n"/>
      <c r="C519" s="10" t="n"/>
      <c r="D519" s="16" t="n"/>
      <c r="E519" s="9" t="n"/>
      <c r="F519" s="9">
        <f>IF($B519="","",IFERROR(VLOOKUP($B519,Agents!$A:$C,3,FALSE),"؟"))</f>
        <v/>
      </c>
      <c r="G519" s="9">
        <f>IF($D519="","",YEAR($D519))</f>
        <v/>
      </c>
      <c r="H519" s="9">
        <f>IF($D519="","",ROUNDUP(MONTH($D519)/3,0))</f>
        <v/>
      </c>
    </row>
    <row r="520">
      <c r="A520" s="6" t="n"/>
      <c r="B520" s="6" t="n"/>
      <c r="C520" s="8" t="n"/>
      <c r="D520" s="14" t="n"/>
      <c r="E520" s="6" t="n"/>
      <c r="F520" s="6">
        <f>IF($B520="","",IFERROR(VLOOKUP($B520,Agents!$A:$C,3,FALSE),"؟"))</f>
        <v/>
      </c>
      <c r="G520" s="6">
        <f>IF($D520="","",YEAR($D520))</f>
        <v/>
      </c>
      <c r="H520" s="6">
        <f>IF($D520="","",ROUNDUP(MONTH($D520)/3,0))</f>
        <v/>
      </c>
    </row>
    <row r="521">
      <c r="A521" s="9" t="n"/>
      <c r="B521" s="9" t="n"/>
      <c r="C521" s="10" t="n"/>
      <c r="D521" s="16" t="n"/>
      <c r="E521" s="9" t="n"/>
      <c r="F521" s="9">
        <f>IF($B521="","",IFERROR(VLOOKUP($B521,Agents!$A:$C,3,FALSE),"؟"))</f>
        <v/>
      </c>
      <c r="G521" s="9">
        <f>IF($D521="","",YEAR($D521))</f>
        <v/>
      </c>
      <c r="H521" s="9">
        <f>IF($D521="","",ROUNDUP(MONTH($D521)/3,0))</f>
        <v/>
      </c>
    </row>
    <row r="522">
      <c r="A522" s="6" t="n"/>
      <c r="B522" s="6" t="n"/>
      <c r="C522" s="8" t="n"/>
      <c r="D522" s="14" t="n"/>
      <c r="E522" s="6" t="n"/>
      <c r="F522" s="6">
        <f>IF($B522="","",IFERROR(VLOOKUP($B522,Agents!$A:$C,3,FALSE),"؟"))</f>
        <v/>
      </c>
      <c r="G522" s="6">
        <f>IF($D522="","",YEAR($D522))</f>
        <v/>
      </c>
      <c r="H522" s="6">
        <f>IF($D522="","",ROUNDUP(MONTH($D522)/3,0))</f>
        <v/>
      </c>
    </row>
    <row r="523">
      <c r="A523" s="9" t="n"/>
      <c r="B523" s="9" t="n"/>
      <c r="C523" s="10" t="n"/>
      <c r="D523" s="16" t="n"/>
      <c r="E523" s="9" t="n"/>
      <c r="F523" s="9">
        <f>IF($B523="","",IFERROR(VLOOKUP($B523,Agents!$A:$C,3,FALSE),"؟"))</f>
        <v/>
      </c>
      <c r="G523" s="9">
        <f>IF($D523="","",YEAR($D523))</f>
        <v/>
      </c>
      <c r="H523" s="9">
        <f>IF($D523="","",ROUNDUP(MONTH($D523)/3,0))</f>
        <v/>
      </c>
    </row>
    <row r="524">
      <c r="A524" s="6" t="n"/>
      <c r="B524" s="6" t="n"/>
      <c r="C524" s="8" t="n"/>
      <c r="D524" s="14" t="n"/>
      <c r="E524" s="6" t="n"/>
      <c r="F524" s="6">
        <f>IF($B524="","",IFERROR(VLOOKUP($B524,Agents!$A:$C,3,FALSE),"؟"))</f>
        <v/>
      </c>
      <c r="G524" s="6">
        <f>IF($D524="","",YEAR($D524))</f>
        <v/>
      </c>
      <c r="H524" s="6">
        <f>IF($D524="","",ROUNDUP(MONTH($D524)/3,0))</f>
        <v/>
      </c>
    </row>
    <row r="525">
      <c r="A525" s="9" t="n"/>
      <c r="B525" s="9" t="n"/>
      <c r="C525" s="10" t="n"/>
      <c r="D525" s="16" t="n"/>
      <c r="E525" s="9" t="n"/>
      <c r="F525" s="9">
        <f>IF($B525="","",IFERROR(VLOOKUP($B525,Agents!$A:$C,3,FALSE),"؟"))</f>
        <v/>
      </c>
      <c r="G525" s="9">
        <f>IF($D525="","",YEAR($D525))</f>
        <v/>
      </c>
      <c r="H525" s="9">
        <f>IF($D525="","",ROUNDUP(MONTH($D525)/3,0))</f>
        <v/>
      </c>
    </row>
    <row r="526">
      <c r="A526" s="6" t="n"/>
      <c r="B526" s="6" t="n"/>
      <c r="C526" s="8" t="n"/>
      <c r="D526" s="14" t="n"/>
      <c r="E526" s="6" t="n"/>
      <c r="F526" s="6">
        <f>IF($B526="","",IFERROR(VLOOKUP($B526,Agents!$A:$C,3,FALSE),"؟"))</f>
        <v/>
      </c>
      <c r="G526" s="6">
        <f>IF($D526="","",YEAR($D526))</f>
        <v/>
      </c>
      <c r="H526" s="6">
        <f>IF($D526="","",ROUNDUP(MONTH($D526)/3,0))</f>
        <v/>
      </c>
    </row>
    <row r="527">
      <c r="A527" s="9" t="n"/>
      <c r="B527" s="9" t="n"/>
      <c r="C527" s="10" t="n"/>
      <c r="D527" s="16" t="n"/>
      <c r="E527" s="9" t="n"/>
      <c r="F527" s="9">
        <f>IF($B527="","",IFERROR(VLOOKUP($B527,Agents!$A:$C,3,FALSE),"؟"))</f>
        <v/>
      </c>
      <c r="G527" s="9">
        <f>IF($D527="","",YEAR($D527))</f>
        <v/>
      </c>
      <c r="H527" s="9">
        <f>IF($D527="","",ROUNDUP(MONTH($D527)/3,0))</f>
        <v/>
      </c>
    </row>
    <row r="528">
      <c r="A528" s="6" t="n"/>
      <c r="B528" s="6" t="n"/>
      <c r="C528" s="8" t="n"/>
      <c r="D528" s="14" t="n"/>
      <c r="E528" s="6" t="n"/>
      <c r="F528" s="6">
        <f>IF($B528="","",IFERROR(VLOOKUP($B528,Agents!$A:$C,3,FALSE),"؟"))</f>
        <v/>
      </c>
      <c r="G528" s="6">
        <f>IF($D528="","",YEAR($D528))</f>
        <v/>
      </c>
      <c r="H528" s="6">
        <f>IF($D528="","",ROUNDUP(MONTH($D528)/3,0))</f>
        <v/>
      </c>
    </row>
    <row r="529">
      <c r="A529" s="9" t="n"/>
      <c r="B529" s="9" t="n"/>
      <c r="C529" s="10" t="n"/>
      <c r="D529" s="16" t="n"/>
      <c r="E529" s="9" t="n"/>
      <c r="F529" s="9">
        <f>IF($B529="","",IFERROR(VLOOKUP($B529,Agents!$A:$C,3,FALSE),"؟"))</f>
        <v/>
      </c>
      <c r="G529" s="9">
        <f>IF($D529="","",YEAR($D529))</f>
        <v/>
      </c>
      <c r="H529" s="9">
        <f>IF($D529="","",ROUNDUP(MONTH($D529)/3,0))</f>
        <v/>
      </c>
    </row>
    <row r="530">
      <c r="A530" s="6" t="n"/>
      <c r="B530" s="6" t="n"/>
      <c r="C530" s="8" t="n"/>
      <c r="D530" s="14" t="n"/>
      <c r="E530" s="6" t="n"/>
      <c r="F530" s="6">
        <f>IF($B530="","",IFERROR(VLOOKUP($B530,Agents!$A:$C,3,FALSE),"؟"))</f>
        <v/>
      </c>
      <c r="G530" s="6">
        <f>IF($D530="","",YEAR($D530))</f>
        <v/>
      </c>
      <c r="H530" s="6">
        <f>IF($D530="","",ROUNDUP(MONTH($D530)/3,0))</f>
        <v/>
      </c>
    </row>
    <row r="531">
      <c r="A531" s="9" t="n"/>
      <c r="B531" s="9" t="n"/>
      <c r="C531" s="10" t="n"/>
      <c r="D531" s="16" t="n"/>
      <c r="E531" s="9" t="n"/>
      <c r="F531" s="9">
        <f>IF($B531="","",IFERROR(VLOOKUP($B531,Agents!$A:$C,3,FALSE),"؟"))</f>
        <v/>
      </c>
      <c r="G531" s="9">
        <f>IF($D531="","",YEAR($D531))</f>
        <v/>
      </c>
      <c r="H531" s="9">
        <f>IF($D531="","",ROUNDUP(MONTH($D531)/3,0))</f>
        <v/>
      </c>
    </row>
    <row r="532">
      <c r="A532" s="6" t="n"/>
      <c r="B532" s="6" t="n"/>
      <c r="C532" s="8" t="n"/>
      <c r="D532" s="14" t="n"/>
      <c r="E532" s="6" t="n"/>
      <c r="F532" s="6">
        <f>IF($B532="","",IFERROR(VLOOKUP($B532,Agents!$A:$C,3,FALSE),"؟"))</f>
        <v/>
      </c>
      <c r="G532" s="6">
        <f>IF($D532="","",YEAR($D532))</f>
        <v/>
      </c>
      <c r="H532" s="6">
        <f>IF($D532="","",ROUNDUP(MONTH($D532)/3,0))</f>
        <v/>
      </c>
    </row>
    <row r="533">
      <c r="A533" s="9" t="n"/>
      <c r="B533" s="9" t="n"/>
      <c r="C533" s="10" t="n"/>
      <c r="D533" s="16" t="n"/>
      <c r="E533" s="9" t="n"/>
      <c r="F533" s="9">
        <f>IF($B533="","",IFERROR(VLOOKUP($B533,Agents!$A:$C,3,FALSE),"؟"))</f>
        <v/>
      </c>
      <c r="G533" s="9">
        <f>IF($D533="","",YEAR($D533))</f>
        <v/>
      </c>
      <c r="H533" s="9">
        <f>IF($D533="","",ROUNDUP(MONTH($D533)/3,0))</f>
        <v/>
      </c>
    </row>
    <row r="534">
      <c r="A534" s="6" t="n"/>
      <c r="B534" s="6" t="n"/>
      <c r="C534" s="8" t="n"/>
      <c r="D534" s="14" t="n"/>
      <c r="E534" s="6" t="n"/>
      <c r="F534" s="6">
        <f>IF($B534="","",IFERROR(VLOOKUP($B534,Agents!$A:$C,3,FALSE),"؟"))</f>
        <v/>
      </c>
      <c r="G534" s="6">
        <f>IF($D534="","",YEAR($D534))</f>
        <v/>
      </c>
      <c r="H534" s="6">
        <f>IF($D534="","",ROUNDUP(MONTH($D534)/3,0))</f>
        <v/>
      </c>
    </row>
    <row r="535">
      <c r="A535" s="9" t="n"/>
      <c r="B535" s="9" t="n"/>
      <c r="C535" s="10" t="n"/>
      <c r="D535" s="16" t="n"/>
      <c r="E535" s="9" t="n"/>
      <c r="F535" s="9">
        <f>IF($B535="","",IFERROR(VLOOKUP($B535,Agents!$A:$C,3,FALSE),"؟"))</f>
        <v/>
      </c>
      <c r="G535" s="9">
        <f>IF($D535="","",YEAR($D535))</f>
        <v/>
      </c>
      <c r="H535" s="9">
        <f>IF($D535="","",ROUNDUP(MONTH($D535)/3,0))</f>
        <v/>
      </c>
    </row>
    <row r="536">
      <c r="A536" s="6" t="n"/>
      <c r="B536" s="6" t="n"/>
      <c r="C536" s="8" t="n"/>
      <c r="D536" s="14" t="n"/>
      <c r="E536" s="6" t="n"/>
      <c r="F536" s="6">
        <f>IF($B536="","",IFERROR(VLOOKUP($B536,Agents!$A:$C,3,FALSE),"؟"))</f>
        <v/>
      </c>
      <c r="G536" s="6">
        <f>IF($D536="","",YEAR($D536))</f>
        <v/>
      </c>
      <c r="H536" s="6">
        <f>IF($D536="","",ROUNDUP(MONTH($D536)/3,0))</f>
        <v/>
      </c>
    </row>
    <row r="537">
      <c r="A537" s="9" t="n"/>
      <c r="B537" s="9" t="n"/>
      <c r="C537" s="10" t="n"/>
      <c r="D537" s="16" t="n"/>
      <c r="E537" s="9" t="n"/>
      <c r="F537" s="9">
        <f>IF($B537="","",IFERROR(VLOOKUP($B537,Agents!$A:$C,3,FALSE),"؟"))</f>
        <v/>
      </c>
      <c r="G537" s="9">
        <f>IF($D537="","",YEAR($D537))</f>
        <v/>
      </c>
      <c r="H537" s="9">
        <f>IF($D537="","",ROUNDUP(MONTH($D537)/3,0))</f>
        <v/>
      </c>
    </row>
    <row r="538">
      <c r="A538" s="6" t="n"/>
      <c r="B538" s="6" t="n"/>
      <c r="C538" s="8" t="n"/>
      <c r="D538" s="14" t="n"/>
      <c r="E538" s="6" t="n"/>
      <c r="F538" s="6">
        <f>IF($B538="","",IFERROR(VLOOKUP($B538,Agents!$A:$C,3,FALSE),"؟"))</f>
        <v/>
      </c>
      <c r="G538" s="6">
        <f>IF($D538="","",YEAR($D538))</f>
        <v/>
      </c>
      <c r="H538" s="6">
        <f>IF($D538="","",ROUNDUP(MONTH($D538)/3,0))</f>
        <v/>
      </c>
    </row>
    <row r="539">
      <c r="A539" s="9" t="n"/>
      <c r="B539" s="9" t="n"/>
      <c r="C539" s="10" t="n"/>
      <c r="D539" s="16" t="n"/>
      <c r="E539" s="9" t="n"/>
      <c r="F539" s="9">
        <f>IF($B539="","",IFERROR(VLOOKUP($B539,Agents!$A:$C,3,FALSE),"؟"))</f>
        <v/>
      </c>
      <c r="G539" s="9">
        <f>IF($D539="","",YEAR($D539))</f>
        <v/>
      </c>
      <c r="H539" s="9">
        <f>IF($D539="","",ROUNDUP(MONTH($D539)/3,0))</f>
        <v/>
      </c>
    </row>
    <row r="540">
      <c r="A540" s="6" t="n"/>
      <c r="B540" s="6" t="n"/>
      <c r="C540" s="8" t="n"/>
      <c r="D540" s="14" t="n"/>
      <c r="E540" s="6" t="n"/>
      <c r="F540" s="6">
        <f>IF($B540="","",IFERROR(VLOOKUP($B540,Agents!$A:$C,3,FALSE),"؟"))</f>
        <v/>
      </c>
      <c r="G540" s="6">
        <f>IF($D540="","",YEAR($D540))</f>
        <v/>
      </c>
      <c r="H540" s="6">
        <f>IF($D540="","",ROUNDUP(MONTH($D540)/3,0))</f>
        <v/>
      </c>
    </row>
    <row r="541">
      <c r="A541" s="9" t="n"/>
      <c r="B541" s="9" t="n"/>
      <c r="C541" s="10" t="n"/>
      <c r="D541" s="16" t="n"/>
      <c r="E541" s="9" t="n"/>
      <c r="F541" s="9">
        <f>IF($B541="","",IFERROR(VLOOKUP($B541,Agents!$A:$C,3,FALSE),"؟"))</f>
        <v/>
      </c>
      <c r="G541" s="9">
        <f>IF($D541="","",YEAR($D541))</f>
        <v/>
      </c>
      <c r="H541" s="9">
        <f>IF($D541="","",ROUNDUP(MONTH($D541)/3,0))</f>
        <v/>
      </c>
    </row>
    <row r="542">
      <c r="A542" s="6" t="n"/>
      <c r="B542" s="6" t="n"/>
      <c r="C542" s="8" t="n"/>
      <c r="D542" s="14" t="n"/>
      <c r="E542" s="6" t="n"/>
      <c r="F542" s="6">
        <f>IF($B542="","",IFERROR(VLOOKUP($B542,Agents!$A:$C,3,FALSE),"؟"))</f>
        <v/>
      </c>
      <c r="G542" s="6">
        <f>IF($D542="","",YEAR($D542))</f>
        <v/>
      </c>
      <c r="H542" s="6">
        <f>IF($D542="","",ROUNDUP(MONTH($D542)/3,0))</f>
        <v/>
      </c>
    </row>
    <row r="543">
      <c r="A543" s="9" t="n"/>
      <c r="B543" s="9" t="n"/>
      <c r="C543" s="10" t="n"/>
      <c r="D543" s="16" t="n"/>
      <c r="E543" s="9" t="n"/>
      <c r="F543" s="9">
        <f>IF($B543="","",IFERROR(VLOOKUP($B543,Agents!$A:$C,3,FALSE),"؟"))</f>
        <v/>
      </c>
      <c r="G543" s="9">
        <f>IF($D543="","",YEAR($D543))</f>
        <v/>
      </c>
      <c r="H543" s="9">
        <f>IF($D543="","",ROUNDUP(MONTH($D543)/3,0))</f>
        <v/>
      </c>
    </row>
    <row r="544">
      <c r="A544" s="6" t="n"/>
      <c r="B544" s="6" t="n"/>
      <c r="C544" s="8" t="n"/>
      <c r="D544" s="14" t="n"/>
      <c r="E544" s="6" t="n"/>
      <c r="F544" s="6">
        <f>IF($B544="","",IFERROR(VLOOKUP($B544,Agents!$A:$C,3,FALSE),"؟"))</f>
        <v/>
      </c>
      <c r="G544" s="6">
        <f>IF($D544="","",YEAR($D544))</f>
        <v/>
      </c>
      <c r="H544" s="6">
        <f>IF($D544="","",ROUNDUP(MONTH($D544)/3,0))</f>
        <v/>
      </c>
    </row>
    <row r="545">
      <c r="A545" s="9" t="n"/>
      <c r="B545" s="9" t="n"/>
      <c r="C545" s="10" t="n"/>
      <c r="D545" s="16" t="n"/>
      <c r="E545" s="9" t="n"/>
      <c r="F545" s="9">
        <f>IF($B545="","",IFERROR(VLOOKUP($B545,Agents!$A:$C,3,FALSE),"؟"))</f>
        <v/>
      </c>
      <c r="G545" s="9">
        <f>IF($D545="","",YEAR($D545))</f>
        <v/>
      </c>
      <c r="H545" s="9">
        <f>IF($D545="","",ROUNDUP(MONTH($D545)/3,0))</f>
        <v/>
      </c>
    </row>
    <row r="546">
      <c r="A546" s="6" t="n"/>
      <c r="B546" s="6" t="n"/>
      <c r="C546" s="8" t="n"/>
      <c r="D546" s="14" t="n"/>
      <c r="E546" s="6" t="n"/>
      <c r="F546" s="6">
        <f>IF($B546="","",IFERROR(VLOOKUP($B546,Agents!$A:$C,3,FALSE),"؟"))</f>
        <v/>
      </c>
      <c r="G546" s="6">
        <f>IF($D546="","",YEAR($D546))</f>
        <v/>
      </c>
      <c r="H546" s="6">
        <f>IF($D546="","",ROUNDUP(MONTH($D546)/3,0))</f>
        <v/>
      </c>
    </row>
    <row r="547">
      <c r="A547" s="9" t="n"/>
      <c r="B547" s="9" t="n"/>
      <c r="C547" s="10" t="n"/>
      <c r="D547" s="16" t="n"/>
      <c r="E547" s="9" t="n"/>
      <c r="F547" s="9">
        <f>IF($B547="","",IFERROR(VLOOKUP($B547,Agents!$A:$C,3,FALSE),"؟"))</f>
        <v/>
      </c>
      <c r="G547" s="9">
        <f>IF($D547="","",YEAR($D547))</f>
        <v/>
      </c>
      <c r="H547" s="9">
        <f>IF($D547="","",ROUNDUP(MONTH($D547)/3,0))</f>
        <v/>
      </c>
    </row>
    <row r="548">
      <c r="A548" s="6" t="n"/>
      <c r="B548" s="6" t="n"/>
      <c r="C548" s="8" t="n"/>
      <c r="D548" s="14" t="n"/>
      <c r="E548" s="6" t="n"/>
      <c r="F548" s="6">
        <f>IF($B548="","",IFERROR(VLOOKUP($B548,Agents!$A:$C,3,FALSE),"؟"))</f>
        <v/>
      </c>
      <c r="G548" s="6">
        <f>IF($D548="","",YEAR($D548))</f>
        <v/>
      </c>
      <c r="H548" s="6">
        <f>IF($D548="","",ROUNDUP(MONTH($D548)/3,0))</f>
        <v/>
      </c>
    </row>
    <row r="549">
      <c r="A549" s="9" t="n"/>
      <c r="B549" s="9" t="n"/>
      <c r="C549" s="10" t="n"/>
      <c r="D549" s="16" t="n"/>
      <c r="E549" s="9" t="n"/>
      <c r="F549" s="9">
        <f>IF($B549="","",IFERROR(VLOOKUP($B549,Agents!$A:$C,3,FALSE),"؟"))</f>
        <v/>
      </c>
      <c r="G549" s="9">
        <f>IF($D549="","",YEAR($D549))</f>
        <v/>
      </c>
      <c r="H549" s="9">
        <f>IF($D549="","",ROUNDUP(MONTH($D549)/3,0))</f>
        <v/>
      </c>
    </row>
    <row r="550">
      <c r="A550" s="6" t="n"/>
      <c r="B550" s="6" t="n"/>
      <c r="C550" s="8" t="n"/>
      <c r="D550" s="14" t="n"/>
      <c r="E550" s="6" t="n"/>
      <c r="F550" s="6">
        <f>IF($B550="","",IFERROR(VLOOKUP($B550,Agents!$A:$C,3,FALSE),"؟"))</f>
        <v/>
      </c>
      <c r="G550" s="6">
        <f>IF($D550="","",YEAR($D550))</f>
        <v/>
      </c>
      <c r="H550" s="6">
        <f>IF($D550="","",ROUNDUP(MONTH($D550)/3,0))</f>
        <v/>
      </c>
    </row>
    <row r="551">
      <c r="A551" s="9" t="n"/>
      <c r="B551" s="9" t="n"/>
      <c r="C551" s="10" t="n"/>
      <c r="D551" s="16" t="n"/>
      <c r="E551" s="9" t="n"/>
      <c r="F551" s="9">
        <f>IF($B551="","",IFERROR(VLOOKUP($B551,Agents!$A:$C,3,FALSE),"؟"))</f>
        <v/>
      </c>
      <c r="G551" s="9">
        <f>IF($D551="","",YEAR($D551))</f>
        <v/>
      </c>
      <c r="H551" s="9">
        <f>IF($D551="","",ROUNDUP(MONTH($D551)/3,0))</f>
        <v/>
      </c>
    </row>
    <row r="552">
      <c r="A552" s="6" t="n"/>
      <c r="B552" s="6" t="n"/>
      <c r="C552" s="8" t="n"/>
      <c r="D552" s="14" t="n"/>
      <c r="E552" s="6" t="n"/>
      <c r="F552" s="6">
        <f>IF($B552="","",IFERROR(VLOOKUP($B552,Agents!$A:$C,3,FALSE),"؟"))</f>
        <v/>
      </c>
      <c r="G552" s="6">
        <f>IF($D552="","",YEAR($D552))</f>
        <v/>
      </c>
      <c r="H552" s="6">
        <f>IF($D552="","",ROUNDUP(MONTH($D552)/3,0))</f>
        <v/>
      </c>
    </row>
    <row r="553">
      <c r="A553" s="9" t="n"/>
      <c r="B553" s="9" t="n"/>
      <c r="C553" s="10" t="n"/>
      <c r="D553" s="16" t="n"/>
      <c r="E553" s="9" t="n"/>
      <c r="F553" s="9">
        <f>IF($B553="","",IFERROR(VLOOKUP($B553,Agents!$A:$C,3,FALSE),"؟"))</f>
        <v/>
      </c>
      <c r="G553" s="9">
        <f>IF($D553="","",YEAR($D553))</f>
        <v/>
      </c>
      <c r="H553" s="9">
        <f>IF($D553="","",ROUNDUP(MONTH($D553)/3,0))</f>
        <v/>
      </c>
    </row>
    <row r="554">
      <c r="A554" s="6" t="n"/>
      <c r="B554" s="6" t="n"/>
      <c r="C554" s="8" t="n"/>
      <c r="D554" s="14" t="n"/>
      <c r="E554" s="6" t="n"/>
      <c r="F554" s="6">
        <f>IF($B554="","",IFERROR(VLOOKUP($B554,Agents!$A:$C,3,FALSE),"؟"))</f>
        <v/>
      </c>
      <c r="G554" s="6">
        <f>IF($D554="","",YEAR($D554))</f>
        <v/>
      </c>
      <c r="H554" s="6">
        <f>IF($D554="","",ROUNDUP(MONTH($D554)/3,0))</f>
        <v/>
      </c>
    </row>
    <row r="555">
      <c r="A555" s="9" t="n"/>
      <c r="B555" s="9" t="n"/>
      <c r="C555" s="10" t="n"/>
      <c r="D555" s="16" t="n"/>
      <c r="E555" s="9" t="n"/>
      <c r="F555" s="9">
        <f>IF($B555="","",IFERROR(VLOOKUP($B555,Agents!$A:$C,3,FALSE),"؟"))</f>
        <v/>
      </c>
      <c r="G555" s="9">
        <f>IF($D555="","",YEAR($D555))</f>
        <v/>
      </c>
      <c r="H555" s="9">
        <f>IF($D555="","",ROUNDUP(MONTH($D555)/3,0))</f>
        <v/>
      </c>
    </row>
    <row r="556">
      <c r="A556" s="6" t="n"/>
      <c r="B556" s="6" t="n"/>
      <c r="C556" s="8" t="n"/>
      <c r="D556" s="14" t="n"/>
      <c r="E556" s="6" t="n"/>
      <c r="F556" s="6">
        <f>IF($B556="","",IFERROR(VLOOKUP($B556,Agents!$A:$C,3,FALSE),"؟"))</f>
        <v/>
      </c>
      <c r="G556" s="6">
        <f>IF($D556="","",YEAR($D556))</f>
        <v/>
      </c>
      <c r="H556" s="6">
        <f>IF($D556="","",ROUNDUP(MONTH($D556)/3,0))</f>
        <v/>
      </c>
    </row>
    <row r="557">
      <c r="A557" s="9" t="n"/>
      <c r="B557" s="9" t="n"/>
      <c r="C557" s="10" t="n"/>
      <c r="D557" s="16" t="n"/>
      <c r="E557" s="9" t="n"/>
      <c r="F557" s="9">
        <f>IF($B557="","",IFERROR(VLOOKUP($B557,Agents!$A:$C,3,FALSE),"؟"))</f>
        <v/>
      </c>
      <c r="G557" s="9">
        <f>IF($D557="","",YEAR($D557))</f>
        <v/>
      </c>
      <c r="H557" s="9">
        <f>IF($D557="","",ROUNDUP(MONTH($D557)/3,0))</f>
        <v/>
      </c>
    </row>
    <row r="558">
      <c r="A558" s="6" t="n"/>
      <c r="B558" s="6" t="n"/>
      <c r="C558" s="8" t="n"/>
      <c r="D558" s="14" t="n"/>
      <c r="E558" s="6" t="n"/>
      <c r="F558" s="6">
        <f>IF($B558="","",IFERROR(VLOOKUP($B558,Agents!$A:$C,3,FALSE),"؟"))</f>
        <v/>
      </c>
      <c r="G558" s="6">
        <f>IF($D558="","",YEAR($D558))</f>
        <v/>
      </c>
      <c r="H558" s="6">
        <f>IF($D558="","",ROUNDUP(MONTH($D558)/3,0))</f>
        <v/>
      </c>
    </row>
    <row r="559">
      <c r="A559" s="9" t="n"/>
      <c r="B559" s="9" t="n"/>
      <c r="C559" s="10" t="n"/>
      <c r="D559" s="16" t="n"/>
      <c r="E559" s="9" t="n"/>
      <c r="F559" s="9">
        <f>IF($B559="","",IFERROR(VLOOKUP($B559,Agents!$A:$C,3,FALSE),"؟"))</f>
        <v/>
      </c>
      <c r="G559" s="9">
        <f>IF($D559="","",YEAR($D559))</f>
        <v/>
      </c>
      <c r="H559" s="9">
        <f>IF($D559="","",ROUNDUP(MONTH($D559)/3,0))</f>
        <v/>
      </c>
    </row>
    <row r="560">
      <c r="A560" s="6" t="n"/>
      <c r="B560" s="6" t="n"/>
      <c r="C560" s="8" t="n"/>
      <c r="D560" s="14" t="n"/>
      <c r="E560" s="6" t="n"/>
      <c r="F560" s="6">
        <f>IF($B560="","",IFERROR(VLOOKUP($B560,Agents!$A:$C,3,FALSE),"؟"))</f>
        <v/>
      </c>
      <c r="G560" s="6">
        <f>IF($D560="","",YEAR($D560))</f>
        <v/>
      </c>
      <c r="H560" s="6">
        <f>IF($D560="","",ROUNDUP(MONTH($D560)/3,0))</f>
        <v/>
      </c>
    </row>
    <row r="561">
      <c r="A561" s="9" t="n"/>
      <c r="B561" s="9" t="n"/>
      <c r="C561" s="10" t="n"/>
      <c r="D561" s="16" t="n"/>
      <c r="E561" s="9" t="n"/>
      <c r="F561" s="9">
        <f>IF($B561="","",IFERROR(VLOOKUP($B561,Agents!$A:$C,3,FALSE),"؟"))</f>
        <v/>
      </c>
      <c r="G561" s="9">
        <f>IF($D561="","",YEAR($D561))</f>
        <v/>
      </c>
      <c r="H561" s="9">
        <f>IF($D561="","",ROUNDUP(MONTH($D561)/3,0))</f>
        <v/>
      </c>
    </row>
    <row r="562">
      <c r="A562" s="6" t="n"/>
      <c r="B562" s="6" t="n"/>
      <c r="C562" s="8" t="n"/>
      <c r="D562" s="14" t="n"/>
      <c r="E562" s="6" t="n"/>
      <c r="F562" s="6">
        <f>IF($B562="","",IFERROR(VLOOKUP($B562,Agents!$A:$C,3,FALSE),"؟"))</f>
        <v/>
      </c>
      <c r="G562" s="6">
        <f>IF($D562="","",YEAR($D562))</f>
        <v/>
      </c>
      <c r="H562" s="6">
        <f>IF($D562="","",ROUNDUP(MONTH($D562)/3,0))</f>
        <v/>
      </c>
    </row>
    <row r="563">
      <c r="A563" s="9" t="n"/>
      <c r="B563" s="9" t="n"/>
      <c r="C563" s="10" t="n"/>
      <c r="D563" s="16" t="n"/>
      <c r="E563" s="9" t="n"/>
      <c r="F563" s="9">
        <f>IF($B563="","",IFERROR(VLOOKUP($B563,Agents!$A:$C,3,FALSE),"؟"))</f>
        <v/>
      </c>
      <c r="G563" s="9">
        <f>IF($D563="","",YEAR($D563))</f>
        <v/>
      </c>
      <c r="H563" s="9">
        <f>IF($D563="","",ROUNDUP(MONTH($D563)/3,0))</f>
        <v/>
      </c>
    </row>
    <row r="564">
      <c r="A564" s="6" t="n"/>
      <c r="B564" s="6" t="n"/>
      <c r="C564" s="8" t="n"/>
      <c r="D564" s="14" t="n"/>
      <c r="E564" s="6" t="n"/>
      <c r="F564" s="6">
        <f>IF($B564="","",IFERROR(VLOOKUP($B564,Agents!$A:$C,3,FALSE),"؟"))</f>
        <v/>
      </c>
      <c r="G564" s="6">
        <f>IF($D564="","",YEAR($D564))</f>
        <v/>
      </c>
      <c r="H564" s="6">
        <f>IF($D564="","",ROUNDUP(MONTH($D564)/3,0))</f>
        <v/>
      </c>
    </row>
    <row r="565">
      <c r="A565" s="9" t="n"/>
      <c r="B565" s="9" t="n"/>
      <c r="C565" s="10" t="n"/>
      <c r="D565" s="16" t="n"/>
      <c r="E565" s="9" t="n"/>
      <c r="F565" s="9">
        <f>IF($B565="","",IFERROR(VLOOKUP($B565,Agents!$A:$C,3,FALSE),"؟"))</f>
        <v/>
      </c>
      <c r="G565" s="9">
        <f>IF($D565="","",YEAR($D565))</f>
        <v/>
      </c>
      <c r="H565" s="9">
        <f>IF($D565="","",ROUNDUP(MONTH($D565)/3,0))</f>
        <v/>
      </c>
    </row>
    <row r="566">
      <c r="A566" s="6" t="n"/>
      <c r="B566" s="6" t="n"/>
      <c r="C566" s="8" t="n"/>
      <c r="D566" s="14" t="n"/>
      <c r="E566" s="6" t="n"/>
      <c r="F566" s="6">
        <f>IF($B566="","",IFERROR(VLOOKUP($B566,Agents!$A:$C,3,FALSE),"؟"))</f>
        <v/>
      </c>
      <c r="G566" s="6">
        <f>IF($D566="","",YEAR($D566))</f>
        <v/>
      </c>
      <c r="H566" s="6">
        <f>IF($D566="","",ROUNDUP(MONTH($D566)/3,0))</f>
        <v/>
      </c>
    </row>
    <row r="567">
      <c r="A567" s="9" t="n"/>
      <c r="B567" s="9" t="n"/>
      <c r="C567" s="10" t="n"/>
      <c r="D567" s="16" t="n"/>
      <c r="E567" s="9" t="n"/>
      <c r="F567" s="9">
        <f>IF($B567="","",IFERROR(VLOOKUP($B567,Agents!$A:$C,3,FALSE),"؟"))</f>
        <v/>
      </c>
      <c r="G567" s="9">
        <f>IF($D567="","",YEAR($D567))</f>
        <v/>
      </c>
      <c r="H567" s="9">
        <f>IF($D567="","",ROUNDUP(MONTH($D567)/3,0))</f>
        <v/>
      </c>
    </row>
    <row r="568">
      <c r="A568" s="6" t="n"/>
      <c r="B568" s="6" t="n"/>
      <c r="C568" s="8" t="n"/>
      <c r="D568" s="14" t="n"/>
      <c r="E568" s="6" t="n"/>
      <c r="F568" s="6">
        <f>IF($B568="","",IFERROR(VLOOKUP($B568,Agents!$A:$C,3,FALSE),"؟"))</f>
        <v/>
      </c>
      <c r="G568" s="6">
        <f>IF($D568="","",YEAR($D568))</f>
        <v/>
      </c>
      <c r="H568" s="6">
        <f>IF($D568="","",ROUNDUP(MONTH($D568)/3,0))</f>
        <v/>
      </c>
    </row>
    <row r="569">
      <c r="A569" s="9" t="n"/>
      <c r="B569" s="9" t="n"/>
      <c r="C569" s="10" t="n"/>
      <c r="D569" s="16" t="n"/>
      <c r="E569" s="9" t="n"/>
      <c r="F569" s="9">
        <f>IF($B569="","",IFERROR(VLOOKUP($B569,Agents!$A:$C,3,FALSE),"؟"))</f>
        <v/>
      </c>
      <c r="G569" s="9">
        <f>IF($D569="","",YEAR($D569))</f>
        <v/>
      </c>
      <c r="H569" s="9">
        <f>IF($D569="","",ROUNDUP(MONTH($D569)/3,0))</f>
        <v/>
      </c>
    </row>
    <row r="570">
      <c r="A570" s="6" t="n"/>
      <c r="B570" s="6" t="n"/>
      <c r="C570" s="8" t="n"/>
      <c r="D570" s="14" t="n"/>
      <c r="E570" s="6" t="n"/>
      <c r="F570" s="6">
        <f>IF($B570="","",IFERROR(VLOOKUP($B570,Agents!$A:$C,3,FALSE),"؟"))</f>
        <v/>
      </c>
      <c r="G570" s="6">
        <f>IF($D570="","",YEAR($D570))</f>
        <v/>
      </c>
      <c r="H570" s="6">
        <f>IF($D570="","",ROUNDUP(MONTH($D570)/3,0))</f>
        <v/>
      </c>
    </row>
    <row r="571">
      <c r="A571" s="9" t="n"/>
      <c r="B571" s="9" t="n"/>
      <c r="C571" s="10" t="n"/>
      <c r="D571" s="16" t="n"/>
      <c r="E571" s="9" t="n"/>
      <c r="F571" s="9">
        <f>IF($B571="","",IFERROR(VLOOKUP($B571,Agents!$A:$C,3,FALSE),"؟"))</f>
        <v/>
      </c>
      <c r="G571" s="9">
        <f>IF($D571="","",YEAR($D571))</f>
        <v/>
      </c>
      <c r="H571" s="9">
        <f>IF($D571="","",ROUNDUP(MONTH($D571)/3,0))</f>
        <v/>
      </c>
    </row>
    <row r="572">
      <c r="A572" s="6" t="n"/>
      <c r="B572" s="6" t="n"/>
      <c r="C572" s="8" t="n"/>
      <c r="D572" s="14" t="n"/>
      <c r="E572" s="6" t="n"/>
      <c r="F572" s="6">
        <f>IF($B572="","",IFERROR(VLOOKUP($B572,Agents!$A:$C,3,FALSE),"؟"))</f>
        <v/>
      </c>
      <c r="G572" s="6">
        <f>IF($D572="","",YEAR($D572))</f>
        <v/>
      </c>
      <c r="H572" s="6">
        <f>IF($D572="","",ROUNDUP(MONTH($D572)/3,0))</f>
        <v/>
      </c>
    </row>
    <row r="573">
      <c r="A573" s="9" t="n"/>
      <c r="B573" s="9" t="n"/>
      <c r="C573" s="10" t="n"/>
      <c r="D573" s="16" t="n"/>
      <c r="E573" s="9" t="n"/>
      <c r="F573" s="9">
        <f>IF($B573="","",IFERROR(VLOOKUP($B573,Agents!$A:$C,3,FALSE),"؟"))</f>
        <v/>
      </c>
      <c r="G573" s="9">
        <f>IF($D573="","",YEAR($D573))</f>
        <v/>
      </c>
      <c r="H573" s="9">
        <f>IF($D573="","",ROUNDUP(MONTH($D573)/3,0))</f>
        <v/>
      </c>
    </row>
    <row r="574">
      <c r="A574" s="6" t="n"/>
      <c r="B574" s="6" t="n"/>
      <c r="C574" s="8" t="n"/>
      <c r="D574" s="14" t="n"/>
      <c r="E574" s="6" t="n"/>
      <c r="F574" s="6">
        <f>IF($B574="","",IFERROR(VLOOKUP($B574,Agents!$A:$C,3,FALSE),"؟"))</f>
        <v/>
      </c>
      <c r="G574" s="6">
        <f>IF($D574="","",YEAR($D574))</f>
        <v/>
      </c>
      <c r="H574" s="6">
        <f>IF($D574="","",ROUNDUP(MONTH($D574)/3,0))</f>
        <v/>
      </c>
    </row>
    <row r="575">
      <c r="A575" s="9" t="n"/>
      <c r="B575" s="9" t="n"/>
      <c r="C575" s="10" t="n"/>
      <c r="D575" s="16" t="n"/>
      <c r="E575" s="9" t="n"/>
      <c r="F575" s="9">
        <f>IF($B575="","",IFERROR(VLOOKUP($B575,Agents!$A:$C,3,FALSE),"؟"))</f>
        <v/>
      </c>
      <c r="G575" s="9">
        <f>IF($D575="","",YEAR($D575))</f>
        <v/>
      </c>
      <c r="H575" s="9">
        <f>IF($D575="","",ROUNDUP(MONTH($D575)/3,0))</f>
        <v/>
      </c>
    </row>
    <row r="576">
      <c r="A576" s="6" t="n"/>
      <c r="B576" s="6" t="n"/>
      <c r="C576" s="8" t="n"/>
      <c r="D576" s="14" t="n"/>
      <c r="E576" s="6" t="n"/>
      <c r="F576" s="6">
        <f>IF($B576="","",IFERROR(VLOOKUP($B576,Agents!$A:$C,3,FALSE),"؟"))</f>
        <v/>
      </c>
      <c r="G576" s="6">
        <f>IF($D576="","",YEAR($D576))</f>
        <v/>
      </c>
      <c r="H576" s="6">
        <f>IF($D576="","",ROUNDUP(MONTH($D576)/3,0))</f>
        <v/>
      </c>
    </row>
    <row r="577">
      <c r="A577" s="9" t="n"/>
      <c r="B577" s="9" t="n"/>
      <c r="C577" s="10" t="n"/>
      <c r="D577" s="16" t="n"/>
      <c r="E577" s="9" t="n"/>
      <c r="F577" s="9">
        <f>IF($B577="","",IFERROR(VLOOKUP($B577,Agents!$A:$C,3,FALSE),"؟"))</f>
        <v/>
      </c>
      <c r="G577" s="9">
        <f>IF($D577="","",YEAR($D577))</f>
        <v/>
      </c>
      <c r="H577" s="9">
        <f>IF($D577="","",ROUNDUP(MONTH($D577)/3,0))</f>
        <v/>
      </c>
    </row>
    <row r="578">
      <c r="A578" s="6" t="n"/>
      <c r="B578" s="6" t="n"/>
      <c r="C578" s="8" t="n"/>
      <c r="D578" s="14" t="n"/>
      <c r="E578" s="6" t="n"/>
      <c r="F578" s="6">
        <f>IF($B578="","",IFERROR(VLOOKUP($B578,Agents!$A:$C,3,FALSE),"؟"))</f>
        <v/>
      </c>
      <c r="G578" s="6">
        <f>IF($D578="","",YEAR($D578))</f>
        <v/>
      </c>
      <c r="H578" s="6">
        <f>IF($D578="","",ROUNDUP(MONTH($D578)/3,0))</f>
        <v/>
      </c>
    </row>
    <row r="579">
      <c r="A579" s="9" t="n"/>
      <c r="B579" s="9" t="n"/>
      <c r="C579" s="10" t="n"/>
      <c r="D579" s="16" t="n"/>
      <c r="E579" s="9" t="n"/>
      <c r="F579" s="9">
        <f>IF($B579="","",IFERROR(VLOOKUP($B579,Agents!$A:$C,3,FALSE),"؟"))</f>
        <v/>
      </c>
      <c r="G579" s="9">
        <f>IF($D579="","",YEAR($D579))</f>
        <v/>
      </c>
      <c r="H579" s="9">
        <f>IF($D579="","",ROUNDUP(MONTH($D579)/3,0))</f>
        <v/>
      </c>
    </row>
    <row r="580">
      <c r="A580" s="6" t="n"/>
      <c r="B580" s="6" t="n"/>
      <c r="C580" s="8" t="n"/>
      <c r="D580" s="14" t="n"/>
      <c r="E580" s="6" t="n"/>
      <c r="F580" s="6">
        <f>IF($B580="","",IFERROR(VLOOKUP($B580,Agents!$A:$C,3,FALSE),"؟"))</f>
        <v/>
      </c>
      <c r="G580" s="6">
        <f>IF($D580="","",YEAR($D580))</f>
        <v/>
      </c>
      <c r="H580" s="6">
        <f>IF($D580="","",ROUNDUP(MONTH($D580)/3,0))</f>
        <v/>
      </c>
    </row>
    <row r="581">
      <c r="A581" s="9" t="n"/>
      <c r="B581" s="9" t="n"/>
      <c r="C581" s="10" t="n"/>
      <c r="D581" s="16" t="n"/>
      <c r="E581" s="9" t="n"/>
      <c r="F581" s="9">
        <f>IF($B581="","",IFERROR(VLOOKUP($B581,Agents!$A:$C,3,FALSE),"؟"))</f>
        <v/>
      </c>
      <c r="G581" s="9">
        <f>IF($D581="","",YEAR($D581))</f>
        <v/>
      </c>
      <c r="H581" s="9">
        <f>IF($D581="","",ROUNDUP(MONTH($D581)/3,0))</f>
        <v/>
      </c>
    </row>
    <row r="582">
      <c r="A582" s="6" t="n"/>
      <c r="B582" s="6" t="n"/>
      <c r="C582" s="8" t="n"/>
      <c r="D582" s="14" t="n"/>
      <c r="E582" s="6" t="n"/>
      <c r="F582" s="6">
        <f>IF($B582="","",IFERROR(VLOOKUP($B582,Agents!$A:$C,3,FALSE),"؟"))</f>
        <v/>
      </c>
      <c r="G582" s="6">
        <f>IF($D582="","",YEAR($D582))</f>
        <v/>
      </c>
      <c r="H582" s="6">
        <f>IF($D582="","",ROUNDUP(MONTH($D582)/3,0))</f>
        <v/>
      </c>
    </row>
    <row r="583">
      <c r="A583" s="9" t="n"/>
      <c r="B583" s="9" t="n"/>
      <c r="C583" s="10" t="n"/>
      <c r="D583" s="16" t="n"/>
      <c r="E583" s="9" t="n"/>
      <c r="F583" s="9">
        <f>IF($B583="","",IFERROR(VLOOKUP($B583,Agents!$A:$C,3,FALSE),"؟"))</f>
        <v/>
      </c>
      <c r="G583" s="9">
        <f>IF($D583="","",YEAR($D583))</f>
        <v/>
      </c>
      <c r="H583" s="9">
        <f>IF($D583="","",ROUNDUP(MONTH($D583)/3,0))</f>
        <v/>
      </c>
    </row>
    <row r="584">
      <c r="A584" s="6" t="n"/>
      <c r="B584" s="6" t="n"/>
      <c r="C584" s="8" t="n"/>
      <c r="D584" s="14" t="n"/>
      <c r="E584" s="6" t="n"/>
      <c r="F584" s="6">
        <f>IF($B584="","",IFERROR(VLOOKUP($B584,Agents!$A:$C,3,FALSE),"؟"))</f>
        <v/>
      </c>
      <c r="G584" s="6">
        <f>IF($D584="","",YEAR($D584))</f>
        <v/>
      </c>
      <c r="H584" s="6">
        <f>IF($D584="","",ROUNDUP(MONTH($D584)/3,0))</f>
        <v/>
      </c>
    </row>
    <row r="585">
      <c r="A585" s="9" t="n"/>
      <c r="B585" s="9" t="n"/>
      <c r="C585" s="10" t="n"/>
      <c r="D585" s="16" t="n"/>
      <c r="E585" s="9" t="n"/>
      <c r="F585" s="9">
        <f>IF($B585="","",IFERROR(VLOOKUP($B585,Agents!$A:$C,3,FALSE),"؟"))</f>
        <v/>
      </c>
      <c r="G585" s="9">
        <f>IF($D585="","",YEAR($D585))</f>
        <v/>
      </c>
      <c r="H585" s="9">
        <f>IF($D585="","",ROUNDUP(MONTH($D585)/3,0))</f>
        <v/>
      </c>
    </row>
    <row r="586">
      <c r="A586" s="6" t="n"/>
      <c r="B586" s="6" t="n"/>
      <c r="C586" s="8" t="n"/>
      <c r="D586" s="14" t="n"/>
      <c r="E586" s="6" t="n"/>
      <c r="F586" s="6">
        <f>IF($B586="","",IFERROR(VLOOKUP($B586,Agents!$A:$C,3,FALSE),"؟"))</f>
        <v/>
      </c>
      <c r="G586" s="6">
        <f>IF($D586="","",YEAR($D586))</f>
        <v/>
      </c>
      <c r="H586" s="6">
        <f>IF($D586="","",ROUNDUP(MONTH($D586)/3,0))</f>
        <v/>
      </c>
    </row>
    <row r="587">
      <c r="A587" s="9" t="n"/>
      <c r="B587" s="9" t="n"/>
      <c r="C587" s="10" t="n"/>
      <c r="D587" s="16" t="n"/>
      <c r="E587" s="9" t="n"/>
      <c r="F587" s="9">
        <f>IF($B587="","",IFERROR(VLOOKUP($B587,Agents!$A:$C,3,FALSE),"؟"))</f>
        <v/>
      </c>
      <c r="G587" s="9">
        <f>IF($D587="","",YEAR($D587))</f>
        <v/>
      </c>
      <c r="H587" s="9">
        <f>IF($D587="","",ROUNDUP(MONTH($D587)/3,0))</f>
        <v/>
      </c>
    </row>
    <row r="588">
      <c r="A588" s="6" t="n"/>
      <c r="B588" s="6" t="n"/>
      <c r="C588" s="8" t="n"/>
      <c r="D588" s="14" t="n"/>
      <c r="E588" s="6" t="n"/>
      <c r="F588" s="6">
        <f>IF($B588="","",IFERROR(VLOOKUP($B588,Agents!$A:$C,3,FALSE),"؟"))</f>
        <v/>
      </c>
      <c r="G588" s="6">
        <f>IF($D588="","",YEAR($D588))</f>
        <v/>
      </c>
      <c r="H588" s="6">
        <f>IF($D588="","",ROUNDUP(MONTH($D588)/3,0))</f>
        <v/>
      </c>
    </row>
    <row r="589">
      <c r="A589" s="9" t="n"/>
      <c r="B589" s="9" t="n"/>
      <c r="C589" s="10" t="n"/>
      <c r="D589" s="16" t="n"/>
      <c r="E589" s="9" t="n"/>
      <c r="F589" s="9">
        <f>IF($B589="","",IFERROR(VLOOKUP($B589,Agents!$A:$C,3,FALSE),"؟"))</f>
        <v/>
      </c>
      <c r="G589" s="9">
        <f>IF($D589="","",YEAR($D589))</f>
        <v/>
      </c>
      <c r="H589" s="9">
        <f>IF($D589="","",ROUNDUP(MONTH($D589)/3,0))</f>
        <v/>
      </c>
    </row>
    <row r="590">
      <c r="A590" s="6" t="n"/>
      <c r="B590" s="6" t="n"/>
      <c r="C590" s="8" t="n"/>
      <c r="D590" s="14" t="n"/>
      <c r="E590" s="6" t="n"/>
      <c r="F590" s="6">
        <f>IF($B590="","",IFERROR(VLOOKUP($B590,Agents!$A:$C,3,FALSE),"؟"))</f>
        <v/>
      </c>
      <c r="G590" s="6">
        <f>IF($D590="","",YEAR($D590))</f>
        <v/>
      </c>
      <c r="H590" s="6">
        <f>IF($D590="","",ROUNDUP(MONTH($D590)/3,0))</f>
        <v/>
      </c>
    </row>
    <row r="591">
      <c r="A591" s="9" t="n"/>
      <c r="B591" s="9" t="n"/>
      <c r="C591" s="10" t="n"/>
      <c r="D591" s="16" t="n"/>
      <c r="E591" s="9" t="n"/>
      <c r="F591" s="9">
        <f>IF($B591="","",IFERROR(VLOOKUP($B591,Agents!$A:$C,3,FALSE),"؟"))</f>
        <v/>
      </c>
      <c r="G591" s="9">
        <f>IF($D591="","",YEAR($D591))</f>
        <v/>
      </c>
      <c r="H591" s="9">
        <f>IF($D591="","",ROUNDUP(MONTH($D591)/3,0))</f>
        <v/>
      </c>
    </row>
    <row r="592">
      <c r="A592" s="6" t="n"/>
      <c r="B592" s="6" t="n"/>
      <c r="C592" s="8" t="n"/>
      <c r="D592" s="14" t="n"/>
      <c r="E592" s="6" t="n"/>
      <c r="F592" s="6">
        <f>IF($B592="","",IFERROR(VLOOKUP($B592,Agents!$A:$C,3,FALSE),"؟"))</f>
        <v/>
      </c>
      <c r="G592" s="6">
        <f>IF($D592="","",YEAR($D592))</f>
        <v/>
      </c>
      <c r="H592" s="6">
        <f>IF($D592="","",ROUNDUP(MONTH($D592)/3,0))</f>
        <v/>
      </c>
    </row>
    <row r="593">
      <c r="A593" s="9" t="n"/>
      <c r="B593" s="9" t="n"/>
      <c r="C593" s="10" t="n"/>
      <c r="D593" s="16" t="n"/>
      <c r="E593" s="9" t="n"/>
      <c r="F593" s="9">
        <f>IF($B593="","",IFERROR(VLOOKUP($B593,Agents!$A:$C,3,FALSE),"؟"))</f>
        <v/>
      </c>
      <c r="G593" s="9">
        <f>IF($D593="","",YEAR($D593))</f>
        <v/>
      </c>
      <c r="H593" s="9">
        <f>IF($D593="","",ROUNDUP(MONTH($D593)/3,0))</f>
        <v/>
      </c>
    </row>
    <row r="594">
      <c r="A594" s="6" t="n"/>
      <c r="B594" s="6" t="n"/>
      <c r="C594" s="8" t="n"/>
      <c r="D594" s="14" t="n"/>
      <c r="E594" s="6" t="n"/>
      <c r="F594" s="6">
        <f>IF($B594="","",IFERROR(VLOOKUP($B594,Agents!$A:$C,3,FALSE),"؟"))</f>
        <v/>
      </c>
      <c r="G594" s="6">
        <f>IF($D594="","",YEAR($D594))</f>
        <v/>
      </c>
      <c r="H594" s="6">
        <f>IF($D594="","",ROUNDUP(MONTH($D594)/3,0))</f>
        <v/>
      </c>
    </row>
    <row r="595">
      <c r="A595" s="9" t="n"/>
      <c r="B595" s="9" t="n"/>
      <c r="C595" s="10" t="n"/>
      <c r="D595" s="16" t="n"/>
      <c r="E595" s="9" t="n"/>
      <c r="F595" s="9">
        <f>IF($B595="","",IFERROR(VLOOKUP($B595,Agents!$A:$C,3,FALSE),"؟"))</f>
        <v/>
      </c>
      <c r="G595" s="9">
        <f>IF($D595="","",YEAR($D595))</f>
        <v/>
      </c>
      <c r="H595" s="9">
        <f>IF($D595="","",ROUNDUP(MONTH($D595)/3,0))</f>
        <v/>
      </c>
    </row>
    <row r="596">
      <c r="A596" s="6" t="n"/>
      <c r="B596" s="6" t="n"/>
      <c r="C596" s="8" t="n"/>
      <c r="D596" s="14" t="n"/>
      <c r="E596" s="6" t="n"/>
      <c r="F596" s="6">
        <f>IF($B596="","",IFERROR(VLOOKUP($B596,Agents!$A:$C,3,FALSE),"؟"))</f>
        <v/>
      </c>
      <c r="G596" s="6">
        <f>IF($D596="","",YEAR($D596))</f>
        <v/>
      </c>
      <c r="H596" s="6">
        <f>IF($D596="","",ROUNDUP(MONTH($D596)/3,0))</f>
        <v/>
      </c>
    </row>
    <row r="597">
      <c r="A597" s="9" t="n"/>
      <c r="B597" s="9" t="n"/>
      <c r="C597" s="10" t="n"/>
      <c r="D597" s="16" t="n"/>
      <c r="E597" s="9" t="n"/>
      <c r="F597" s="9">
        <f>IF($B597="","",IFERROR(VLOOKUP($B597,Agents!$A:$C,3,FALSE),"؟"))</f>
        <v/>
      </c>
      <c r="G597" s="9">
        <f>IF($D597="","",YEAR($D597))</f>
        <v/>
      </c>
      <c r="H597" s="9">
        <f>IF($D597="","",ROUNDUP(MONTH($D597)/3,0))</f>
        <v/>
      </c>
    </row>
    <row r="598">
      <c r="A598" s="6" t="n"/>
      <c r="B598" s="6" t="n"/>
      <c r="C598" s="8" t="n"/>
      <c r="D598" s="14" t="n"/>
      <c r="E598" s="6" t="n"/>
      <c r="F598" s="6">
        <f>IF($B598="","",IFERROR(VLOOKUP($B598,Agents!$A:$C,3,FALSE),"؟"))</f>
        <v/>
      </c>
      <c r="G598" s="6">
        <f>IF($D598="","",YEAR($D598))</f>
        <v/>
      </c>
      <c r="H598" s="6">
        <f>IF($D598="","",ROUNDUP(MONTH($D598)/3,0))</f>
        <v/>
      </c>
    </row>
    <row r="599">
      <c r="A599" s="9" t="n"/>
      <c r="B599" s="9" t="n"/>
      <c r="C599" s="10" t="n"/>
      <c r="D599" s="16" t="n"/>
      <c r="E599" s="9" t="n"/>
      <c r="F599" s="9">
        <f>IF($B599="","",IFERROR(VLOOKUP($B599,Agents!$A:$C,3,FALSE),"؟"))</f>
        <v/>
      </c>
      <c r="G599" s="9">
        <f>IF($D599="","",YEAR($D599))</f>
        <v/>
      </c>
      <c r="H599" s="9">
        <f>IF($D599="","",ROUNDUP(MONTH($D599)/3,0))</f>
        <v/>
      </c>
    </row>
    <row r="600">
      <c r="A600" s="6" t="n"/>
      <c r="B600" s="6" t="n"/>
      <c r="C600" s="8" t="n"/>
      <c r="D600" s="14" t="n"/>
      <c r="E600" s="6" t="n"/>
      <c r="F600" s="6">
        <f>IF($B600="","",IFERROR(VLOOKUP($B600,Agents!$A:$C,3,FALSE),"؟"))</f>
        <v/>
      </c>
      <c r="G600" s="6">
        <f>IF($D600="","",YEAR($D600))</f>
        <v/>
      </c>
      <c r="H600" s="6">
        <f>IF($D600="","",ROUNDUP(MONTH($D600)/3,0))</f>
        <v/>
      </c>
    </row>
    <row r="601">
      <c r="A601" s="9" t="n"/>
      <c r="B601" s="9" t="n"/>
      <c r="C601" s="10" t="n"/>
      <c r="D601" s="16" t="n"/>
      <c r="E601" s="9" t="n"/>
      <c r="F601" s="9">
        <f>IF($B601="","",IFERROR(VLOOKUP($B601,Agents!$A:$C,3,FALSE),"؟"))</f>
        <v/>
      </c>
      <c r="G601" s="9">
        <f>IF($D601="","",YEAR($D601))</f>
        <v/>
      </c>
      <c r="H601" s="9">
        <f>IF($D601="","",ROUNDUP(MONTH($D601)/3,0))</f>
        <v/>
      </c>
    </row>
    <row r="602">
      <c r="A602" s="6" t="n"/>
      <c r="B602" s="6" t="n"/>
      <c r="C602" s="8" t="n"/>
      <c r="D602" s="14" t="n"/>
      <c r="E602" s="6" t="n"/>
      <c r="F602" s="6">
        <f>IF($B602="","",IFERROR(VLOOKUP($B602,Agents!$A:$C,3,FALSE),"؟"))</f>
        <v/>
      </c>
      <c r="G602" s="6">
        <f>IF($D602="","",YEAR($D602))</f>
        <v/>
      </c>
      <c r="H602" s="6">
        <f>IF($D602="","",ROUNDUP(MONTH($D602)/3,0))</f>
        <v/>
      </c>
    </row>
    <row r="603">
      <c r="A603" s="9" t="n"/>
      <c r="B603" s="9" t="n"/>
      <c r="C603" s="10" t="n"/>
      <c r="D603" s="16" t="n"/>
      <c r="E603" s="9" t="n"/>
      <c r="F603" s="9">
        <f>IF($B603="","",IFERROR(VLOOKUP($B603,Agents!$A:$C,3,FALSE),"؟"))</f>
        <v/>
      </c>
      <c r="G603" s="9">
        <f>IF($D603="","",YEAR($D603))</f>
        <v/>
      </c>
      <c r="H603" s="9">
        <f>IF($D603="","",ROUNDUP(MONTH($D603)/3,0))</f>
        <v/>
      </c>
    </row>
    <row r="604">
      <c r="A604" s="6" t="n"/>
      <c r="B604" s="6" t="n"/>
      <c r="C604" s="8" t="n"/>
      <c r="D604" s="14" t="n"/>
      <c r="E604" s="6" t="n"/>
      <c r="F604" s="6">
        <f>IF($B604="","",IFERROR(VLOOKUP($B604,Agents!$A:$C,3,FALSE),"؟"))</f>
        <v/>
      </c>
      <c r="G604" s="6">
        <f>IF($D604="","",YEAR($D604))</f>
        <v/>
      </c>
      <c r="H604" s="6">
        <f>IF($D604="","",ROUNDUP(MONTH($D604)/3,0))</f>
        <v/>
      </c>
    </row>
    <row r="605">
      <c r="A605" s="9" t="n"/>
      <c r="B605" s="9" t="n"/>
      <c r="C605" s="10" t="n"/>
      <c r="D605" s="16" t="n"/>
      <c r="E605" s="9" t="n"/>
      <c r="F605" s="9">
        <f>IF($B605="","",IFERROR(VLOOKUP($B605,Agents!$A:$C,3,FALSE),"؟"))</f>
        <v/>
      </c>
      <c r="G605" s="9">
        <f>IF($D605="","",YEAR($D605))</f>
        <v/>
      </c>
      <c r="H605" s="9">
        <f>IF($D605="","",ROUNDUP(MONTH($D605)/3,0))</f>
        <v/>
      </c>
    </row>
    <row r="606">
      <c r="A606" s="6" t="n"/>
      <c r="B606" s="6" t="n"/>
      <c r="C606" s="8" t="n"/>
      <c r="D606" s="14" t="n"/>
      <c r="E606" s="6" t="n"/>
      <c r="F606" s="6">
        <f>IF($B606="","",IFERROR(VLOOKUP($B606,Agents!$A:$C,3,FALSE),"؟"))</f>
        <v/>
      </c>
      <c r="G606" s="6">
        <f>IF($D606="","",YEAR($D606))</f>
        <v/>
      </c>
      <c r="H606" s="6">
        <f>IF($D606="","",ROUNDUP(MONTH($D606)/3,0))</f>
        <v/>
      </c>
    </row>
    <row r="607">
      <c r="A607" s="9" t="n"/>
      <c r="B607" s="9" t="n"/>
      <c r="C607" s="10" t="n"/>
      <c r="D607" s="16" t="n"/>
      <c r="E607" s="9" t="n"/>
      <c r="F607" s="9">
        <f>IF($B607="","",IFERROR(VLOOKUP($B607,Agents!$A:$C,3,FALSE),"؟"))</f>
        <v/>
      </c>
      <c r="G607" s="9">
        <f>IF($D607="","",YEAR($D607))</f>
        <v/>
      </c>
      <c r="H607" s="9">
        <f>IF($D607="","",ROUNDUP(MONTH($D607)/3,0))</f>
        <v/>
      </c>
    </row>
    <row r="608">
      <c r="A608" s="6" t="n"/>
      <c r="B608" s="6" t="n"/>
      <c r="C608" s="8" t="n"/>
      <c r="D608" s="14" t="n"/>
      <c r="E608" s="6" t="n"/>
      <c r="F608" s="6">
        <f>IF($B608="","",IFERROR(VLOOKUP($B608,Agents!$A:$C,3,FALSE),"؟"))</f>
        <v/>
      </c>
      <c r="G608" s="6">
        <f>IF($D608="","",YEAR($D608))</f>
        <v/>
      </c>
      <c r="H608" s="6">
        <f>IF($D608="","",ROUNDUP(MONTH($D608)/3,0))</f>
        <v/>
      </c>
    </row>
    <row r="609">
      <c r="A609" s="9" t="n"/>
      <c r="B609" s="9" t="n"/>
      <c r="C609" s="10" t="n"/>
      <c r="D609" s="16" t="n"/>
      <c r="E609" s="9" t="n"/>
      <c r="F609" s="9">
        <f>IF($B609="","",IFERROR(VLOOKUP($B609,Agents!$A:$C,3,FALSE),"؟"))</f>
        <v/>
      </c>
      <c r="G609" s="9">
        <f>IF($D609="","",YEAR($D609))</f>
        <v/>
      </c>
      <c r="H609" s="9">
        <f>IF($D609="","",ROUNDUP(MONTH($D609)/3,0))</f>
        <v/>
      </c>
    </row>
    <row r="610">
      <c r="A610" s="6" t="n"/>
      <c r="B610" s="6" t="n"/>
      <c r="C610" s="8" t="n"/>
      <c r="D610" s="14" t="n"/>
      <c r="E610" s="6" t="n"/>
      <c r="F610" s="6">
        <f>IF($B610="","",IFERROR(VLOOKUP($B610,Agents!$A:$C,3,FALSE),"؟"))</f>
        <v/>
      </c>
      <c r="G610" s="6">
        <f>IF($D610="","",YEAR($D610))</f>
        <v/>
      </c>
      <c r="H610" s="6">
        <f>IF($D610="","",ROUNDUP(MONTH($D610)/3,0))</f>
        <v/>
      </c>
    </row>
    <row r="611">
      <c r="A611" s="9" t="n"/>
      <c r="B611" s="9" t="n"/>
      <c r="C611" s="10" t="n"/>
      <c r="D611" s="16" t="n"/>
      <c r="E611" s="9" t="n"/>
      <c r="F611" s="9">
        <f>IF($B611="","",IFERROR(VLOOKUP($B611,Agents!$A:$C,3,FALSE),"؟"))</f>
        <v/>
      </c>
      <c r="G611" s="9">
        <f>IF($D611="","",YEAR($D611))</f>
        <v/>
      </c>
      <c r="H611" s="9">
        <f>IF($D611="","",ROUNDUP(MONTH($D611)/3,0))</f>
        <v/>
      </c>
    </row>
    <row r="612">
      <c r="A612" s="6" t="n"/>
      <c r="B612" s="6" t="n"/>
      <c r="C612" s="8" t="n"/>
      <c r="D612" s="14" t="n"/>
      <c r="E612" s="6" t="n"/>
      <c r="F612" s="6">
        <f>IF($B612="","",IFERROR(VLOOKUP($B612,Agents!$A:$C,3,FALSE),"؟"))</f>
        <v/>
      </c>
      <c r="G612" s="6">
        <f>IF($D612="","",YEAR($D612))</f>
        <v/>
      </c>
      <c r="H612" s="6">
        <f>IF($D612="","",ROUNDUP(MONTH($D612)/3,0))</f>
        <v/>
      </c>
    </row>
    <row r="613">
      <c r="A613" s="9" t="n"/>
      <c r="B613" s="9" t="n"/>
      <c r="C613" s="10" t="n"/>
      <c r="D613" s="16" t="n"/>
      <c r="E613" s="9" t="n"/>
      <c r="F613" s="9">
        <f>IF($B613="","",IFERROR(VLOOKUP($B613,Agents!$A:$C,3,FALSE),"؟"))</f>
        <v/>
      </c>
      <c r="G613" s="9">
        <f>IF($D613="","",YEAR($D613))</f>
        <v/>
      </c>
      <c r="H613" s="9">
        <f>IF($D613="","",ROUNDUP(MONTH($D613)/3,0))</f>
        <v/>
      </c>
    </row>
    <row r="614">
      <c r="A614" s="6" t="n"/>
      <c r="B614" s="6" t="n"/>
      <c r="C614" s="8" t="n"/>
      <c r="D614" s="14" t="n"/>
      <c r="E614" s="6" t="n"/>
      <c r="F614" s="6">
        <f>IF($B614="","",IFERROR(VLOOKUP($B614,Agents!$A:$C,3,FALSE),"؟"))</f>
        <v/>
      </c>
      <c r="G614" s="6">
        <f>IF($D614="","",YEAR($D614))</f>
        <v/>
      </c>
      <c r="H614" s="6">
        <f>IF($D614="","",ROUNDUP(MONTH($D614)/3,0))</f>
        <v/>
      </c>
    </row>
    <row r="615">
      <c r="A615" s="9" t="n"/>
      <c r="B615" s="9" t="n"/>
      <c r="C615" s="10" t="n"/>
      <c r="D615" s="16" t="n"/>
      <c r="E615" s="9" t="n"/>
      <c r="F615" s="9">
        <f>IF($B615="","",IFERROR(VLOOKUP($B615,Agents!$A:$C,3,FALSE),"؟"))</f>
        <v/>
      </c>
      <c r="G615" s="9">
        <f>IF($D615="","",YEAR($D615))</f>
        <v/>
      </c>
      <c r="H615" s="9">
        <f>IF($D615="","",ROUNDUP(MONTH($D615)/3,0))</f>
        <v/>
      </c>
    </row>
    <row r="616">
      <c r="A616" s="6" t="n"/>
      <c r="B616" s="6" t="n"/>
      <c r="C616" s="8" t="n"/>
      <c r="D616" s="14" t="n"/>
      <c r="E616" s="6" t="n"/>
      <c r="F616" s="6">
        <f>IF($B616="","",IFERROR(VLOOKUP($B616,Agents!$A:$C,3,FALSE),"؟"))</f>
        <v/>
      </c>
      <c r="G616" s="6">
        <f>IF($D616="","",YEAR($D616))</f>
        <v/>
      </c>
      <c r="H616" s="6">
        <f>IF($D616="","",ROUNDUP(MONTH($D616)/3,0))</f>
        <v/>
      </c>
    </row>
    <row r="617">
      <c r="A617" s="9" t="n"/>
      <c r="B617" s="9" t="n"/>
      <c r="C617" s="10" t="n"/>
      <c r="D617" s="16" t="n"/>
      <c r="E617" s="9" t="n"/>
      <c r="F617" s="9">
        <f>IF($B617="","",IFERROR(VLOOKUP($B617,Agents!$A:$C,3,FALSE),"؟"))</f>
        <v/>
      </c>
      <c r="G617" s="9">
        <f>IF($D617="","",YEAR($D617))</f>
        <v/>
      </c>
      <c r="H617" s="9">
        <f>IF($D617="","",ROUNDUP(MONTH($D617)/3,0))</f>
        <v/>
      </c>
    </row>
    <row r="618">
      <c r="A618" s="6" t="n"/>
      <c r="B618" s="6" t="n"/>
      <c r="C618" s="8" t="n"/>
      <c r="D618" s="14" t="n"/>
      <c r="E618" s="6" t="n"/>
      <c r="F618" s="6">
        <f>IF($B618="","",IFERROR(VLOOKUP($B618,Agents!$A:$C,3,FALSE),"؟"))</f>
        <v/>
      </c>
      <c r="G618" s="6">
        <f>IF($D618="","",YEAR($D618))</f>
        <v/>
      </c>
      <c r="H618" s="6">
        <f>IF($D618="","",ROUNDUP(MONTH($D618)/3,0))</f>
        <v/>
      </c>
    </row>
    <row r="619">
      <c r="A619" s="9" t="n"/>
      <c r="B619" s="9" t="n"/>
      <c r="C619" s="10" t="n"/>
      <c r="D619" s="16" t="n"/>
      <c r="E619" s="9" t="n"/>
      <c r="F619" s="9">
        <f>IF($B619="","",IFERROR(VLOOKUP($B619,Agents!$A:$C,3,FALSE),"؟"))</f>
        <v/>
      </c>
      <c r="G619" s="9">
        <f>IF($D619="","",YEAR($D619))</f>
        <v/>
      </c>
      <c r="H619" s="9">
        <f>IF($D619="","",ROUNDUP(MONTH($D619)/3,0))</f>
        <v/>
      </c>
    </row>
    <row r="620">
      <c r="A620" s="6" t="n"/>
      <c r="B620" s="6" t="n"/>
      <c r="C620" s="8" t="n"/>
      <c r="D620" s="14" t="n"/>
      <c r="E620" s="6" t="n"/>
      <c r="F620" s="6">
        <f>IF($B620="","",IFERROR(VLOOKUP($B620,Agents!$A:$C,3,FALSE),"؟"))</f>
        <v/>
      </c>
      <c r="G620" s="6">
        <f>IF($D620="","",YEAR($D620))</f>
        <v/>
      </c>
      <c r="H620" s="6">
        <f>IF($D620="","",ROUNDUP(MONTH($D620)/3,0))</f>
        <v/>
      </c>
    </row>
    <row r="621">
      <c r="A621" s="9" t="n"/>
      <c r="B621" s="9" t="n"/>
      <c r="C621" s="10" t="n"/>
      <c r="D621" s="16" t="n"/>
      <c r="E621" s="9" t="n"/>
      <c r="F621" s="9">
        <f>IF($B621="","",IFERROR(VLOOKUP($B621,Agents!$A:$C,3,FALSE),"؟"))</f>
        <v/>
      </c>
      <c r="G621" s="9">
        <f>IF($D621="","",YEAR($D621))</f>
        <v/>
      </c>
      <c r="H621" s="9">
        <f>IF($D621="","",ROUNDUP(MONTH($D621)/3,0))</f>
        <v/>
      </c>
    </row>
    <row r="622">
      <c r="A622" s="6" t="n"/>
      <c r="B622" s="6" t="n"/>
      <c r="C622" s="8" t="n"/>
      <c r="D622" s="14" t="n"/>
      <c r="E622" s="6" t="n"/>
      <c r="F622" s="6">
        <f>IF($B622="","",IFERROR(VLOOKUP($B622,Agents!$A:$C,3,FALSE),"؟"))</f>
        <v/>
      </c>
      <c r="G622" s="6">
        <f>IF($D622="","",YEAR($D622))</f>
        <v/>
      </c>
      <c r="H622" s="6">
        <f>IF($D622="","",ROUNDUP(MONTH($D622)/3,0))</f>
        <v/>
      </c>
    </row>
    <row r="623">
      <c r="A623" s="9" t="n"/>
      <c r="B623" s="9" t="n"/>
      <c r="C623" s="10" t="n"/>
      <c r="D623" s="16" t="n"/>
      <c r="E623" s="9" t="n"/>
      <c r="F623" s="9">
        <f>IF($B623="","",IFERROR(VLOOKUP($B623,Agents!$A:$C,3,FALSE),"؟"))</f>
        <v/>
      </c>
      <c r="G623" s="9">
        <f>IF($D623="","",YEAR($D623))</f>
        <v/>
      </c>
      <c r="H623" s="9">
        <f>IF($D623="","",ROUNDUP(MONTH($D623)/3,0))</f>
        <v/>
      </c>
    </row>
    <row r="624">
      <c r="A624" s="6" t="n"/>
      <c r="B624" s="6" t="n"/>
      <c r="C624" s="8" t="n"/>
      <c r="D624" s="14" t="n"/>
      <c r="E624" s="6" t="n"/>
      <c r="F624" s="6">
        <f>IF($B624="","",IFERROR(VLOOKUP($B624,Agents!$A:$C,3,FALSE),"؟"))</f>
        <v/>
      </c>
      <c r="G624" s="6">
        <f>IF($D624="","",YEAR($D624))</f>
        <v/>
      </c>
      <c r="H624" s="6">
        <f>IF($D624="","",ROUNDUP(MONTH($D624)/3,0))</f>
        <v/>
      </c>
    </row>
    <row r="625">
      <c r="A625" s="9" t="n"/>
      <c r="B625" s="9" t="n"/>
      <c r="C625" s="10" t="n"/>
      <c r="D625" s="16" t="n"/>
      <c r="E625" s="9" t="n"/>
      <c r="F625" s="9">
        <f>IF($B625="","",IFERROR(VLOOKUP($B625,Agents!$A:$C,3,FALSE),"؟"))</f>
        <v/>
      </c>
      <c r="G625" s="9">
        <f>IF($D625="","",YEAR($D625))</f>
        <v/>
      </c>
      <c r="H625" s="9">
        <f>IF($D625="","",ROUNDUP(MONTH($D625)/3,0))</f>
        <v/>
      </c>
    </row>
    <row r="626">
      <c r="A626" s="6" t="n"/>
      <c r="B626" s="6" t="n"/>
      <c r="C626" s="8" t="n"/>
      <c r="D626" s="14" t="n"/>
      <c r="E626" s="6" t="n"/>
      <c r="F626" s="6">
        <f>IF($B626="","",IFERROR(VLOOKUP($B626,Agents!$A:$C,3,FALSE),"؟"))</f>
        <v/>
      </c>
      <c r="G626" s="6">
        <f>IF($D626="","",YEAR($D626))</f>
        <v/>
      </c>
      <c r="H626" s="6">
        <f>IF($D626="","",ROUNDUP(MONTH($D626)/3,0))</f>
        <v/>
      </c>
    </row>
    <row r="627">
      <c r="A627" s="9" t="n"/>
      <c r="B627" s="9" t="n"/>
      <c r="C627" s="10" t="n"/>
      <c r="D627" s="16" t="n"/>
      <c r="E627" s="9" t="n"/>
      <c r="F627" s="9">
        <f>IF($B627="","",IFERROR(VLOOKUP($B627,Agents!$A:$C,3,FALSE),"؟"))</f>
        <v/>
      </c>
      <c r="G627" s="9">
        <f>IF($D627="","",YEAR($D627))</f>
        <v/>
      </c>
      <c r="H627" s="9">
        <f>IF($D627="","",ROUNDUP(MONTH($D627)/3,0))</f>
        <v/>
      </c>
    </row>
    <row r="628">
      <c r="A628" s="6" t="n"/>
      <c r="B628" s="6" t="n"/>
      <c r="C628" s="8" t="n"/>
      <c r="D628" s="14" t="n"/>
      <c r="E628" s="6" t="n"/>
      <c r="F628" s="6">
        <f>IF($B628="","",IFERROR(VLOOKUP($B628,Agents!$A:$C,3,FALSE),"؟"))</f>
        <v/>
      </c>
      <c r="G628" s="6">
        <f>IF($D628="","",YEAR($D628))</f>
        <v/>
      </c>
      <c r="H628" s="6">
        <f>IF($D628="","",ROUNDUP(MONTH($D628)/3,0))</f>
        <v/>
      </c>
    </row>
    <row r="629">
      <c r="A629" s="9" t="n"/>
      <c r="B629" s="9" t="n"/>
      <c r="C629" s="10" t="n"/>
      <c r="D629" s="16" t="n"/>
      <c r="E629" s="9" t="n"/>
      <c r="F629" s="9">
        <f>IF($B629="","",IFERROR(VLOOKUP($B629,Agents!$A:$C,3,FALSE),"؟"))</f>
        <v/>
      </c>
      <c r="G629" s="9">
        <f>IF($D629="","",YEAR($D629))</f>
        <v/>
      </c>
      <c r="H629" s="9">
        <f>IF($D629="","",ROUNDUP(MONTH($D629)/3,0))</f>
        <v/>
      </c>
    </row>
    <row r="630">
      <c r="A630" s="6" t="n"/>
      <c r="B630" s="6" t="n"/>
      <c r="C630" s="8" t="n"/>
      <c r="D630" s="14" t="n"/>
      <c r="E630" s="6" t="n"/>
      <c r="F630" s="6">
        <f>IF($B630="","",IFERROR(VLOOKUP($B630,Agents!$A:$C,3,FALSE),"؟"))</f>
        <v/>
      </c>
      <c r="G630" s="6">
        <f>IF($D630="","",YEAR($D630))</f>
        <v/>
      </c>
      <c r="H630" s="6">
        <f>IF($D630="","",ROUNDUP(MONTH($D630)/3,0))</f>
        <v/>
      </c>
    </row>
    <row r="631">
      <c r="A631" s="9" t="n"/>
      <c r="B631" s="9" t="n"/>
      <c r="C631" s="10" t="n"/>
      <c r="D631" s="16" t="n"/>
      <c r="E631" s="9" t="n"/>
      <c r="F631" s="9">
        <f>IF($B631="","",IFERROR(VLOOKUP($B631,Agents!$A:$C,3,FALSE),"؟"))</f>
        <v/>
      </c>
      <c r="G631" s="9">
        <f>IF($D631="","",YEAR($D631))</f>
        <v/>
      </c>
      <c r="H631" s="9">
        <f>IF($D631="","",ROUNDUP(MONTH($D631)/3,0))</f>
        <v/>
      </c>
    </row>
    <row r="632">
      <c r="A632" s="6" t="n"/>
      <c r="B632" s="6" t="n"/>
      <c r="C632" s="8" t="n"/>
      <c r="D632" s="14" t="n"/>
      <c r="E632" s="6" t="n"/>
      <c r="F632" s="6">
        <f>IF($B632="","",IFERROR(VLOOKUP($B632,Agents!$A:$C,3,FALSE),"؟"))</f>
        <v/>
      </c>
      <c r="G632" s="6">
        <f>IF($D632="","",YEAR($D632))</f>
        <v/>
      </c>
      <c r="H632" s="6">
        <f>IF($D632="","",ROUNDUP(MONTH($D632)/3,0))</f>
        <v/>
      </c>
    </row>
    <row r="633">
      <c r="A633" s="9" t="n"/>
      <c r="B633" s="9" t="n"/>
      <c r="C633" s="10" t="n"/>
      <c r="D633" s="16" t="n"/>
      <c r="E633" s="9" t="n"/>
      <c r="F633" s="9">
        <f>IF($B633="","",IFERROR(VLOOKUP($B633,Agents!$A:$C,3,FALSE),"؟"))</f>
        <v/>
      </c>
      <c r="G633" s="9">
        <f>IF($D633="","",YEAR($D633))</f>
        <v/>
      </c>
      <c r="H633" s="9">
        <f>IF($D633="","",ROUNDUP(MONTH($D633)/3,0))</f>
        <v/>
      </c>
    </row>
    <row r="634">
      <c r="A634" s="6" t="n"/>
      <c r="B634" s="6" t="n"/>
      <c r="C634" s="8" t="n"/>
      <c r="D634" s="14" t="n"/>
      <c r="E634" s="6" t="n"/>
      <c r="F634" s="6">
        <f>IF($B634="","",IFERROR(VLOOKUP($B634,Agents!$A:$C,3,FALSE),"؟"))</f>
        <v/>
      </c>
      <c r="G634" s="6">
        <f>IF($D634="","",YEAR($D634))</f>
        <v/>
      </c>
      <c r="H634" s="6">
        <f>IF($D634="","",ROUNDUP(MONTH($D634)/3,0))</f>
        <v/>
      </c>
    </row>
    <row r="635">
      <c r="A635" s="9" t="n"/>
      <c r="B635" s="9" t="n"/>
      <c r="C635" s="10" t="n"/>
      <c r="D635" s="16" t="n"/>
      <c r="E635" s="9" t="n"/>
      <c r="F635" s="9">
        <f>IF($B635="","",IFERROR(VLOOKUP($B635,Agents!$A:$C,3,FALSE),"؟"))</f>
        <v/>
      </c>
      <c r="G635" s="9">
        <f>IF($D635="","",YEAR($D635))</f>
        <v/>
      </c>
      <c r="H635" s="9">
        <f>IF($D635="","",ROUNDUP(MONTH($D635)/3,0))</f>
        <v/>
      </c>
    </row>
    <row r="636">
      <c r="A636" s="6" t="n"/>
      <c r="B636" s="6" t="n"/>
      <c r="C636" s="8" t="n"/>
      <c r="D636" s="14" t="n"/>
      <c r="E636" s="6" t="n"/>
      <c r="F636" s="6">
        <f>IF($B636="","",IFERROR(VLOOKUP($B636,Agents!$A:$C,3,FALSE),"؟"))</f>
        <v/>
      </c>
      <c r="G636" s="6">
        <f>IF($D636="","",YEAR($D636))</f>
        <v/>
      </c>
      <c r="H636" s="6">
        <f>IF($D636="","",ROUNDUP(MONTH($D636)/3,0))</f>
        <v/>
      </c>
    </row>
    <row r="637">
      <c r="A637" s="9" t="n"/>
      <c r="B637" s="9" t="n"/>
      <c r="C637" s="10" t="n"/>
      <c r="D637" s="16" t="n"/>
      <c r="E637" s="9" t="n"/>
      <c r="F637" s="9">
        <f>IF($B637="","",IFERROR(VLOOKUP($B637,Agents!$A:$C,3,FALSE),"؟"))</f>
        <v/>
      </c>
      <c r="G637" s="9">
        <f>IF($D637="","",YEAR($D637))</f>
        <v/>
      </c>
      <c r="H637" s="9">
        <f>IF($D637="","",ROUNDUP(MONTH($D637)/3,0))</f>
        <v/>
      </c>
    </row>
    <row r="638">
      <c r="A638" s="6" t="n"/>
      <c r="B638" s="6" t="n"/>
      <c r="C638" s="8" t="n"/>
      <c r="D638" s="14" t="n"/>
      <c r="E638" s="6" t="n"/>
      <c r="F638" s="6">
        <f>IF($B638="","",IFERROR(VLOOKUP($B638,Agents!$A:$C,3,FALSE),"؟"))</f>
        <v/>
      </c>
      <c r="G638" s="6">
        <f>IF($D638="","",YEAR($D638))</f>
        <v/>
      </c>
      <c r="H638" s="6">
        <f>IF($D638="","",ROUNDUP(MONTH($D638)/3,0))</f>
        <v/>
      </c>
    </row>
    <row r="639">
      <c r="A639" s="9" t="n"/>
      <c r="B639" s="9" t="n"/>
      <c r="C639" s="10" t="n"/>
      <c r="D639" s="16" t="n"/>
      <c r="E639" s="9" t="n"/>
      <c r="F639" s="9">
        <f>IF($B639="","",IFERROR(VLOOKUP($B639,Agents!$A:$C,3,FALSE),"؟"))</f>
        <v/>
      </c>
      <c r="G639" s="9">
        <f>IF($D639="","",YEAR($D639))</f>
        <v/>
      </c>
      <c r="H639" s="9">
        <f>IF($D639="","",ROUNDUP(MONTH($D639)/3,0))</f>
        <v/>
      </c>
    </row>
    <row r="640">
      <c r="A640" s="6" t="n"/>
      <c r="B640" s="6" t="n"/>
      <c r="C640" s="8" t="n"/>
      <c r="D640" s="14" t="n"/>
      <c r="E640" s="6" t="n"/>
      <c r="F640" s="6">
        <f>IF($B640="","",IFERROR(VLOOKUP($B640,Agents!$A:$C,3,FALSE),"؟"))</f>
        <v/>
      </c>
      <c r="G640" s="6">
        <f>IF($D640="","",YEAR($D640))</f>
        <v/>
      </c>
      <c r="H640" s="6">
        <f>IF($D640="","",ROUNDUP(MONTH($D640)/3,0))</f>
        <v/>
      </c>
    </row>
    <row r="641">
      <c r="A641" s="9" t="n"/>
      <c r="B641" s="9" t="n"/>
      <c r="C641" s="10" t="n"/>
      <c r="D641" s="16" t="n"/>
      <c r="E641" s="9" t="n"/>
      <c r="F641" s="9">
        <f>IF($B641="","",IFERROR(VLOOKUP($B641,Agents!$A:$C,3,FALSE),"؟"))</f>
        <v/>
      </c>
      <c r="G641" s="9">
        <f>IF($D641="","",YEAR($D641))</f>
        <v/>
      </c>
      <c r="H641" s="9">
        <f>IF($D641="","",ROUNDUP(MONTH($D641)/3,0))</f>
        <v/>
      </c>
    </row>
    <row r="642">
      <c r="A642" s="6" t="n"/>
      <c r="B642" s="6" t="n"/>
      <c r="C642" s="8" t="n"/>
      <c r="D642" s="14" t="n"/>
      <c r="E642" s="6" t="n"/>
      <c r="F642" s="6">
        <f>IF($B642="","",IFERROR(VLOOKUP($B642,Agents!$A:$C,3,FALSE),"؟"))</f>
        <v/>
      </c>
      <c r="G642" s="6">
        <f>IF($D642="","",YEAR($D642))</f>
        <v/>
      </c>
      <c r="H642" s="6">
        <f>IF($D642="","",ROUNDUP(MONTH($D642)/3,0))</f>
        <v/>
      </c>
    </row>
    <row r="643">
      <c r="A643" s="9" t="n"/>
      <c r="B643" s="9" t="n"/>
      <c r="C643" s="10" t="n"/>
      <c r="D643" s="16" t="n"/>
      <c r="E643" s="9" t="n"/>
      <c r="F643" s="9">
        <f>IF($B643="","",IFERROR(VLOOKUP($B643,Agents!$A:$C,3,FALSE),"؟"))</f>
        <v/>
      </c>
      <c r="G643" s="9">
        <f>IF($D643="","",YEAR($D643))</f>
        <v/>
      </c>
      <c r="H643" s="9">
        <f>IF($D643="","",ROUNDUP(MONTH($D643)/3,0))</f>
        <v/>
      </c>
    </row>
    <row r="644">
      <c r="A644" s="6" t="n"/>
      <c r="B644" s="6" t="n"/>
      <c r="C644" s="8" t="n"/>
      <c r="D644" s="14" t="n"/>
      <c r="E644" s="6" t="n"/>
      <c r="F644" s="6">
        <f>IF($B644="","",IFERROR(VLOOKUP($B644,Agents!$A:$C,3,FALSE),"؟"))</f>
        <v/>
      </c>
      <c r="G644" s="6">
        <f>IF($D644="","",YEAR($D644))</f>
        <v/>
      </c>
      <c r="H644" s="6">
        <f>IF($D644="","",ROUNDUP(MONTH($D644)/3,0))</f>
        <v/>
      </c>
    </row>
    <row r="645">
      <c r="A645" s="9" t="n"/>
      <c r="B645" s="9" t="n"/>
      <c r="C645" s="10" t="n"/>
      <c r="D645" s="16" t="n"/>
      <c r="E645" s="9" t="n"/>
      <c r="F645" s="9">
        <f>IF($B645="","",IFERROR(VLOOKUP($B645,Agents!$A:$C,3,FALSE),"؟"))</f>
        <v/>
      </c>
      <c r="G645" s="9">
        <f>IF($D645="","",YEAR($D645))</f>
        <v/>
      </c>
      <c r="H645" s="9">
        <f>IF($D645="","",ROUNDUP(MONTH($D645)/3,0))</f>
        <v/>
      </c>
    </row>
    <row r="646">
      <c r="A646" s="6" t="n"/>
      <c r="B646" s="6" t="n"/>
      <c r="C646" s="8" t="n"/>
      <c r="D646" s="14" t="n"/>
      <c r="E646" s="6" t="n"/>
      <c r="F646" s="6">
        <f>IF($B646="","",IFERROR(VLOOKUP($B646,Agents!$A:$C,3,FALSE),"؟"))</f>
        <v/>
      </c>
      <c r="G646" s="6">
        <f>IF($D646="","",YEAR($D646))</f>
        <v/>
      </c>
      <c r="H646" s="6">
        <f>IF($D646="","",ROUNDUP(MONTH($D646)/3,0))</f>
        <v/>
      </c>
    </row>
    <row r="647">
      <c r="A647" s="9" t="n"/>
      <c r="B647" s="9" t="n"/>
      <c r="C647" s="10" t="n"/>
      <c r="D647" s="16" t="n"/>
      <c r="E647" s="9" t="n"/>
      <c r="F647" s="9">
        <f>IF($B647="","",IFERROR(VLOOKUP($B647,Agents!$A:$C,3,FALSE),"؟"))</f>
        <v/>
      </c>
      <c r="G647" s="9">
        <f>IF($D647="","",YEAR($D647))</f>
        <v/>
      </c>
      <c r="H647" s="9">
        <f>IF($D647="","",ROUNDUP(MONTH($D647)/3,0))</f>
        <v/>
      </c>
    </row>
    <row r="648">
      <c r="A648" s="6" t="n"/>
      <c r="B648" s="6" t="n"/>
      <c r="C648" s="8" t="n"/>
      <c r="D648" s="14" t="n"/>
      <c r="E648" s="6" t="n"/>
      <c r="F648" s="6">
        <f>IF($B648="","",IFERROR(VLOOKUP($B648,Agents!$A:$C,3,FALSE),"؟"))</f>
        <v/>
      </c>
      <c r="G648" s="6">
        <f>IF($D648="","",YEAR($D648))</f>
        <v/>
      </c>
      <c r="H648" s="6">
        <f>IF($D648="","",ROUNDUP(MONTH($D648)/3,0))</f>
        <v/>
      </c>
    </row>
    <row r="649">
      <c r="A649" s="9" t="n"/>
      <c r="B649" s="9" t="n"/>
      <c r="C649" s="10" t="n"/>
      <c r="D649" s="16" t="n"/>
      <c r="E649" s="9" t="n"/>
      <c r="F649" s="9">
        <f>IF($B649="","",IFERROR(VLOOKUP($B649,Agents!$A:$C,3,FALSE),"؟"))</f>
        <v/>
      </c>
      <c r="G649" s="9">
        <f>IF($D649="","",YEAR($D649))</f>
        <v/>
      </c>
      <c r="H649" s="9">
        <f>IF($D649="","",ROUNDUP(MONTH($D649)/3,0))</f>
        <v/>
      </c>
    </row>
    <row r="650">
      <c r="A650" s="6" t="n"/>
      <c r="B650" s="6" t="n"/>
      <c r="C650" s="8" t="n"/>
      <c r="D650" s="14" t="n"/>
      <c r="E650" s="6" t="n"/>
      <c r="F650" s="6">
        <f>IF($B650="","",IFERROR(VLOOKUP($B650,Agents!$A:$C,3,FALSE),"؟"))</f>
        <v/>
      </c>
      <c r="G650" s="6">
        <f>IF($D650="","",YEAR($D650))</f>
        <v/>
      </c>
      <c r="H650" s="6">
        <f>IF($D650="","",ROUNDUP(MONTH($D650)/3,0))</f>
        <v/>
      </c>
    </row>
    <row r="651">
      <c r="A651" s="9" t="n"/>
      <c r="B651" s="9" t="n"/>
      <c r="C651" s="10" t="n"/>
      <c r="D651" s="16" t="n"/>
      <c r="E651" s="9" t="n"/>
      <c r="F651" s="9">
        <f>IF($B651="","",IFERROR(VLOOKUP($B651,Agents!$A:$C,3,FALSE),"؟"))</f>
        <v/>
      </c>
      <c r="G651" s="9">
        <f>IF($D651="","",YEAR($D651))</f>
        <v/>
      </c>
      <c r="H651" s="9">
        <f>IF($D651="","",ROUNDUP(MONTH($D651)/3,0))</f>
        <v/>
      </c>
    </row>
    <row r="652">
      <c r="A652" s="6" t="n"/>
      <c r="B652" s="6" t="n"/>
      <c r="C652" s="8" t="n"/>
      <c r="D652" s="14" t="n"/>
      <c r="E652" s="6" t="n"/>
      <c r="F652" s="6">
        <f>IF($B652="","",IFERROR(VLOOKUP($B652,Agents!$A:$C,3,FALSE),"؟"))</f>
        <v/>
      </c>
      <c r="G652" s="6">
        <f>IF($D652="","",YEAR($D652))</f>
        <v/>
      </c>
      <c r="H652" s="6">
        <f>IF($D652="","",ROUNDUP(MONTH($D652)/3,0))</f>
        <v/>
      </c>
    </row>
    <row r="653">
      <c r="A653" s="9" t="n"/>
      <c r="B653" s="9" t="n"/>
      <c r="C653" s="10" t="n"/>
      <c r="D653" s="16" t="n"/>
      <c r="E653" s="9" t="n"/>
      <c r="F653" s="9">
        <f>IF($B653="","",IFERROR(VLOOKUP($B653,Agents!$A:$C,3,FALSE),"؟"))</f>
        <v/>
      </c>
      <c r="G653" s="9">
        <f>IF($D653="","",YEAR($D653))</f>
        <v/>
      </c>
      <c r="H653" s="9">
        <f>IF($D653="","",ROUNDUP(MONTH($D653)/3,0))</f>
        <v/>
      </c>
    </row>
    <row r="654">
      <c r="A654" s="6" t="n"/>
      <c r="B654" s="6" t="n"/>
      <c r="C654" s="8" t="n"/>
      <c r="D654" s="14" t="n"/>
      <c r="E654" s="6" t="n"/>
      <c r="F654" s="6">
        <f>IF($B654="","",IFERROR(VLOOKUP($B654,Agents!$A:$C,3,FALSE),"؟"))</f>
        <v/>
      </c>
      <c r="G654" s="6">
        <f>IF($D654="","",YEAR($D654))</f>
        <v/>
      </c>
      <c r="H654" s="6">
        <f>IF($D654="","",ROUNDUP(MONTH($D654)/3,0))</f>
        <v/>
      </c>
    </row>
    <row r="655">
      <c r="A655" s="9" t="n"/>
      <c r="B655" s="9" t="n"/>
      <c r="C655" s="10" t="n"/>
      <c r="D655" s="16" t="n"/>
      <c r="E655" s="9" t="n"/>
      <c r="F655" s="9">
        <f>IF($B655="","",IFERROR(VLOOKUP($B655,Agents!$A:$C,3,FALSE),"؟"))</f>
        <v/>
      </c>
      <c r="G655" s="9">
        <f>IF($D655="","",YEAR($D655))</f>
        <v/>
      </c>
      <c r="H655" s="9">
        <f>IF($D655="","",ROUNDUP(MONTH($D655)/3,0))</f>
        <v/>
      </c>
    </row>
    <row r="656">
      <c r="A656" s="6" t="n"/>
      <c r="B656" s="6" t="n"/>
      <c r="C656" s="8" t="n"/>
      <c r="D656" s="14" t="n"/>
      <c r="E656" s="6" t="n"/>
      <c r="F656" s="6">
        <f>IF($B656="","",IFERROR(VLOOKUP($B656,Agents!$A:$C,3,FALSE),"؟"))</f>
        <v/>
      </c>
      <c r="G656" s="6">
        <f>IF($D656="","",YEAR($D656))</f>
        <v/>
      </c>
      <c r="H656" s="6">
        <f>IF($D656="","",ROUNDUP(MONTH($D656)/3,0))</f>
        <v/>
      </c>
    </row>
    <row r="657">
      <c r="A657" s="9" t="n"/>
      <c r="B657" s="9" t="n"/>
      <c r="C657" s="10" t="n"/>
      <c r="D657" s="16" t="n"/>
      <c r="E657" s="9" t="n"/>
      <c r="F657" s="9">
        <f>IF($B657="","",IFERROR(VLOOKUP($B657,Agents!$A:$C,3,FALSE),"؟"))</f>
        <v/>
      </c>
      <c r="G657" s="9">
        <f>IF($D657="","",YEAR($D657))</f>
        <v/>
      </c>
      <c r="H657" s="9">
        <f>IF($D657="","",ROUNDUP(MONTH($D657)/3,0))</f>
        <v/>
      </c>
    </row>
    <row r="658">
      <c r="A658" s="6" t="n"/>
      <c r="B658" s="6" t="n"/>
      <c r="C658" s="8" t="n"/>
      <c r="D658" s="14" t="n"/>
      <c r="E658" s="6" t="n"/>
      <c r="F658" s="6">
        <f>IF($B658="","",IFERROR(VLOOKUP($B658,Agents!$A:$C,3,FALSE),"؟"))</f>
        <v/>
      </c>
      <c r="G658" s="6">
        <f>IF($D658="","",YEAR($D658))</f>
        <v/>
      </c>
      <c r="H658" s="6">
        <f>IF($D658="","",ROUNDUP(MONTH($D658)/3,0))</f>
        <v/>
      </c>
    </row>
    <row r="659">
      <c r="A659" s="9" t="n"/>
      <c r="B659" s="9" t="n"/>
      <c r="C659" s="10" t="n"/>
      <c r="D659" s="16" t="n"/>
      <c r="E659" s="9" t="n"/>
      <c r="F659" s="9">
        <f>IF($B659="","",IFERROR(VLOOKUP($B659,Agents!$A:$C,3,FALSE),"؟"))</f>
        <v/>
      </c>
      <c r="G659" s="9">
        <f>IF($D659="","",YEAR($D659))</f>
        <v/>
      </c>
      <c r="H659" s="9">
        <f>IF($D659="","",ROUNDUP(MONTH($D659)/3,0))</f>
        <v/>
      </c>
    </row>
    <row r="660">
      <c r="A660" s="6" t="n"/>
      <c r="B660" s="6" t="n"/>
      <c r="C660" s="8" t="n"/>
      <c r="D660" s="14" t="n"/>
      <c r="E660" s="6" t="n"/>
      <c r="F660" s="6">
        <f>IF($B660="","",IFERROR(VLOOKUP($B660,Agents!$A:$C,3,FALSE),"؟"))</f>
        <v/>
      </c>
      <c r="G660" s="6">
        <f>IF($D660="","",YEAR($D660))</f>
        <v/>
      </c>
      <c r="H660" s="6">
        <f>IF($D660="","",ROUNDUP(MONTH($D660)/3,0))</f>
        <v/>
      </c>
    </row>
    <row r="661">
      <c r="A661" s="9" t="n"/>
      <c r="B661" s="9" t="n"/>
      <c r="C661" s="10" t="n"/>
      <c r="D661" s="16" t="n"/>
      <c r="E661" s="9" t="n"/>
      <c r="F661" s="9">
        <f>IF($B661="","",IFERROR(VLOOKUP($B661,Agents!$A:$C,3,FALSE),"؟"))</f>
        <v/>
      </c>
      <c r="G661" s="9">
        <f>IF($D661="","",YEAR($D661))</f>
        <v/>
      </c>
      <c r="H661" s="9">
        <f>IF($D661="","",ROUNDUP(MONTH($D661)/3,0))</f>
        <v/>
      </c>
    </row>
    <row r="662">
      <c r="A662" s="6" t="n"/>
      <c r="B662" s="6" t="n"/>
      <c r="C662" s="8" t="n"/>
      <c r="D662" s="14" t="n"/>
      <c r="E662" s="6" t="n"/>
      <c r="F662" s="6">
        <f>IF($B662="","",IFERROR(VLOOKUP($B662,Agents!$A:$C,3,FALSE),"؟"))</f>
        <v/>
      </c>
      <c r="G662" s="6">
        <f>IF($D662="","",YEAR($D662))</f>
        <v/>
      </c>
      <c r="H662" s="6">
        <f>IF($D662="","",ROUNDUP(MONTH($D662)/3,0))</f>
        <v/>
      </c>
    </row>
    <row r="663">
      <c r="A663" s="9" t="n"/>
      <c r="B663" s="9" t="n"/>
      <c r="C663" s="10" t="n"/>
      <c r="D663" s="16" t="n"/>
      <c r="E663" s="9" t="n"/>
      <c r="F663" s="9">
        <f>IF($B663="","",IFERROR(VLOOKUP($B663,Agents!$A:$C,3,FALSE),"؟"))</f>
        <v/>
      </c>
      <c r="G663" s="9">
        <f>IF($D663="","",YEAR($D663))</f>
        <v/>
      </c>
      <c r="H663" s="9">
        <f>IF($D663="","",ROUNDUP(MONTH($D663)/3,0))</f>
        <v/>
      </c>
    </row>
    <row r="664">
      <c r="A664" s="6" t="n"/>
      <c r="B664" s="6" t="n"/>
      <c r="C664" s="8" t="n"/>
      <c r="D664" s="14" t="n"/>
      <c r="E664" s="6" t="n"/>
      <c r="F664" s="6">
        <f>IF($B664="","",IFERROR(VLOOKUP($B664,Agents!$A:$C,3,FALSE),"؟"))</f>
        <v/>
      </c>
      <c r="G664" s="6">
        <f>IF($D664="","",YEAR($D664))</f>
        <v/>
      </c>
      <c r="H664" s="6">
        <f>IF($D664="","",ROUNDUP(MONTH($D664)/3,0))</f>
        <v/>
      </c>
    </row>
    <row r="665">
      <c r="A665" s="9" t="n"/>
      <c r="B665" s="9" t="n"/>
      <c r="C665" s="10" t="n"/>
      <c r="D665" s="16" t="n"/>
      <c r="E665" s="9" t="n"/>
      <c r="F665" s="9">
        <f>IF($B665="","",IFERROR(VLOOKUP($B665,Agents!$A:$C,3,FALSE),"؟"))</f>
        <v/>
      </c>
      <c r="G665" s="9">
        <f>IF($D665="","",YEAR($D665))</f>
        <v/>
      </c>
      <c r="H665" s="9">
        <f>IF($D665="","",ROUNDUP(MONTH($D665)/3,0))</f>
        <v/>
      </c>
    </row>
    <row r="666">
      <c r="A666" s="6" t="n"/>
      <c r="B666" s="6" t="n"/>
      <c r="C666" s="8" t="n"/>
      <c r="D666" s="14" t="n"/>
      <c r="E666" s="6" t="n"/>
      <c r="F666" s="6">
        <f>IF($B666="","",IFERROR(VLOOKUP($B666,Agents!$A:$C,3,FALSE),"؟"))</f>
        <v/>
      </c>
      <c r="G666" s="6">
        <f>IF($D666="","",YEAR($D666))</f>
        <v/>
      </c>
      <c r="H666" s="6">
        <f>IF($D666="","",ROUNDUP(MONTH($D666)/3,0))</f>
        <v/>
      </c>
    </row>
    <row r="667">
      <c r="A667" s="9" t="n"/>
      <c r="B667" s="9" t="n"/>
      <c r="C667" s="10" t="n"/>
      <c r="D667" s="16" t="n"/>
      <c r="E667" s="9" t="n"/>
      <c r="F667" s="9">
        <f>IF($B667="","",IFERROR(VLOOKUP($B667,Agents!$A:$C,3,FALSE),"؟"))</f>
        <v/>
      </c>
      <c r="G667" s="9">
        <f>IF($D667="","",YEAR($D667))</f>
        <v/>
      </c>
      <c r="H667" s="9">
        <f>IF($D667="","",ROUNDUP(MONTH($D667)/3,0))</f>
        <v/>
      </c>
    </row>
    <row r="668">
      <c r="A668" s="6" t="n"/>
      <c r="B668" s="6" t="n"/>
      <c r="C668" s="8" t="n"/>
      <c r="D668" s="14" t="n"/>
      <c r="E668" s="6" t="n"/>
      <c r="F668" s="6">
        <f>IF($B668="","",IFERROR(VLOOKUP($B668,Agents!$A:$C,3,FALSE),"؟"))</f>
        <v/>
      </c>
      <c r="G668" s="6">
        <f>IF($D668="","",YEAR($D668))</f>
        <v/>
      </c>
      <c r="H668" s="6">
        <f>IF($D668="","",ROUNDUP(MONTH($D668)/3,0))</f>
        <v/>
      </c>
    </row>
    <row r="669">
      <c r="A669" s="9" t="n"/>
      <c r="B669" s="9" t="n"/>
      <c r="C669" s="10" t="n"/>
      <c r="D669" s="16" t="n"/>
      <c r="E669" s="9" t="n"/>
      <c r="F669" s="9">
        <f>IF($B669="","",IFERROR(VLOOKUP($B669,Agents!$A:$C,3,FALSE),"؟"))</f>
        <v/>
      </c>
      <c r="G669" s="9">
        <f>IF($D669="","",YEAR($D669))</f>
        <v/>
      </c>
      <c r="H669" s="9">
        <f>IF($D669="","",ROUNDUP(MONTH($D669)/3,0))</f>
        <v/>
      </c>
    </row>
    <row r="670">
      <c r="A670" s="6" t="n"/>
      <c r="B670" s="6" t="n"/>
      <c r="C670" s="8" t="n"/>
      <c r="D670" s="14" t="n"/>
      <c r="E670" s="6" t="n"/>
      <c r="F670" s="6">
        <f>IF($B670="","",IFERROR(VLOOKUP($B670,Agents!$A:$C,3,FALSE),"؟"))</f>
        <v/>
      </c>
      <c r="G670" s="6">
        <f>IF($D670="","",YEAR($D670))</f>
        <v/>
      </c>
      <c r="H670" s="6">
        <f>IF($D670="","",ROUNDUP(MONTH($D670)/3,0))</f>
        <v/>
      </c>
    </row>
    <row r="671">
      <c r="A671" s="9" t="n"/>
      <c r="B671" s="9" t="n"/>
      <c r="C671" s="10" t="n"/>
      <c r="D671" s="16" t="n"/>
      <c r="E671" s="9" t="n"/>
      <c r="F671" s="9">
        <f>IF($B671="","",IFERROR(VLOOKUP($B671,Agents!$A:$C,3,FALSE),"؟"))</f>
        <v/>
      </c>
      <c r="G671" s="9">
        <f>IF($D671="","",YEAR($D671))</f>
        <v/>
      </c>
      <c r="H671" s="9">
        <f>IF($D671="","",ROUNDUP(MONTH($D671)/3,0))</f>
        <v/>
      </c>
    </row>
    <row r="672">
      <c r="A672" s="6" t="n"/>
      <c r="B672" s="6" t="n"/>
      <c r="C672" s="8" t="n"/>
      <c r="D672" s="14" t="n"/>
      <c r="E672" s="6" t="n"/>
      <c r="F672" s="6">
        <f>IF($B672="","",IFERROR(VLOOKUP($B672,Agents!$A:$C,3,FALSE),"؟"))</f>
        <v/>
      </c>
      <c r="G672" s="6">
        <f>IF($D672="","",YEAR($D672))</f>
        <v/>
      </c>
      <c r="H672" s="6">
        <f>IF($D672="","",ROUNDUP(MONTH($D672)/3,0))</f>
        <v/>
      </c>
    </row>
    <row r="673">
      <c r="A673" s="9" t="n"/>
      <c r="B673" s="9" t="n"/>
      <c r="C673" s="10" t="n"/>
      <c r="D673" s="16" t="n"/>
      <c r="E673" s="9" t="n"/>
      <c r="F673" s="9">
        <f>IF($B673="","",IFERROR(VLOOKUP($B673,Agents!$A:$C,3,FALSE),"؟"))</f>
        <v/>
      </c>
      <c r="G673" s="9">
        <f>IF($D673="","",YEAR($D673))</f>
        <v/>
      </c>
      <c r="H673" s="9">
        <f>IF($D673="","",ROUNDUP(MONTH($D673)/3,0))</f>
        <v/>
      </c>
    </row>
    <row r="674">
      <c r="A674" s="6" t="n"/>
      <c r="B674" s="6" t="n"/>
      <c r="C674" s="8" t="n"/>
      <c r="D674" s="14" t="n"/>
      <c r="E674" s="6" t="n"/>
      <c r="F674" s="6">
        <f>IF($B674="","",IFERROR(VLOOKUP($B674,Agents!$A:$C,3,FALSE),"؟"))</f>
        <v/>
      </c>
      <c r="G674" s="6">
        <f>IF($D674="","",YEAR($D674))</f>
        <v/>
      </c>
      <c r="H674" s="6">
        <f>IF($D674="","",ROUNDUP(MONTH($D674)/3,0))</f>
        <v/>
      </c>
    </row>
    <row r="675">
      <c r="A675" s="9" t="n"/>
      <c r="B675" s="9" t="n"/>
      <c r="C675" s="10" t="n"/>
      <c r="D675" s="16" t="n"/>
      <c r="E675" s="9" t="n"/>
      <c r="F675" s="9">
        <f>IF($B675="","",IFERROR(VLOOKUP($B675,Agents!$A:$C,3,FALSE),"؟"))</f>
        <v/>
      </c>
      <c r="G675" s="9">
        <f>IF($D675="","",YEAR($D675))</f>
        <v/>
      </c>
      <c r="H675" s="9">
        <f>IF($D675="","",ROUNDUP(MONTH($D675)/3,0))</f>
        <v/>
      </c>
    </row>
    <row r="676">
      <c r="A676" s="6" t="n"/>
      <c r="B676" s="6" t="n"/>
      <c r="C676" s="8" t="n"/>
      <c r="D676" s="14" t="n"/>
      <c r="E676" s="6" t="n"/>
      <c r="F676" s="6">
        <f>IF($B676="","",IFERROR(VLOOKUP($B676,Agents!$A:$C,3,FALSE),"؟"))</f>
        <v/>
      </c>
      <c r="G676" s="6">
        <f>IF($D676="","",YEAR($D676))</f>
        <v/>
      </c>
      <c r="H676" s="6">
        <f>IF($D676="","",ROUNDUP(MONTH($D676)/3,0))</f>
        <v/>
      </c>
    </row>
    <row r="677">
      <c r="A677" s="9" t="n"/>
      <c r="B677" s="9" t="n"/>
      <c r="C677" s="10" t="n"/>
      <c r="D677" s="16" t="n"/>
      <c r="E677" s="9" t="n"/>
      <c r="F677" s="9">
        <f>IF($B677="","",IFERROR(VLOOKUP($B677,Agents!$A:$C,3,FALSE),"؟"))</f>
        <v/>
      </c>
      <c r="G677" s="9">
        <f>IF($D677="","",YEAR($D677))</f>
        <v/>
      </c>
      <c r="H677" s="9">
        <f>IF($D677="","",ROUNDUP(MONTH($D677)/3,0))</f>
        <v/>
      </c>
    </row>
    <row r="678">
      <c r="A678" s="6" t="n"/>
      <c r="B678" s="6" t="n"/>
      <c r="C678" s="8" t="n"/>
      <c r="D678" s="14" t="n"/>
      <c r="E678" s="6" t="n"/>
      <c r="F678" s="6">
        <f>IF($B678="","",IFERROR(VLOOKUP($B678,Agents!$A:$C,3,FALSE),"؟"))</f>
        <v/>
      </c>
      <c r="G678" s="6">
        <f>IF($D678="","",YEAR($D678))</f>
        <v/>
      </c>
      <c r="H678" s="6">
        <f>IF($D678="","",ROUNDUP(MONTH($D678)/3,0))</f>
        <v/>
      </c>
    </row>
    <row r="679">
      <c r="A679" s="9" t="n"/>
      <c r="B679" s="9" t="n"/>
      <c r="C679" s="10" t="n"/>
      <c r="D679" s="16" t="n"/>
      <c r="E679" s="9" t="n"/>
      <c r="F679" s="9">
        <f>IF($B679="","",IFERROR(VLOOKUP($B679,Agents!$A:$C,3,FALSE),"؟"))</f>
        <v/>
      </c>
      <c r="G679" s="9">
        <f>IF($D679="","",YEAR($D679))</f>
        <v/>
      </c>
      <c r="H679" s="9">
        <f>IF($D679="","",ROUNDUP(MONTH($D679)/3,0))</f>
        <v/>
      </c>
    </row>
    <row r="680">
      <c r="A680" s="6" t="n"/>
      <c r="B680" s="6" t="n"/>
      <c r="C680" s="8" t="n"/>
      <c r="D680" s="14" t="n"/>
      <c r="E680" s="6" t="n"/>
      <c r="F680" s="6">
        <f>IF($B680="","",IFERROR(VLOOKUP($B680,Agents!$A:$C,3,FALSE),"؟"))</f>
        <v/>
      </c>
      <c r="G680" s="6">
        <f>IF($D680="","",YEAR($D680))</f>
        <v/>
      </c>
      <c r="H680" s="6">
        <f>IF($D680="","",ROUNDUP(MONTH($D680)/3,0))</f>
        <v/>
      </c>
    </row>
    <row r="681">
      <c r="A681" s="9" t="n"/>
      <c r="B681" s="9" t="n"/>
      <c r="C681" s="10" t="n"/>
      <c r="D681" s="16" t="n"/>
      <c r="E681" s="9" t="n"/>
      <c r="F681" s="9">
        <f>IF($B681="","",IFERROR(VLOOKUP($B681,Agents!$A:$C,3,FALSE),"؟"))</f>
        <v/>
      </c>
      <c r="G681" s="9">
        <f>IF($D681="","",YEAR($D681))</f>
        <v/>
      </c>
      <c r="H681" s="9">
        <f>IF($D681="","",ROUNDUP(MONTH($D681)/3,0))</f>
        <v/>
      </c>
    </row>
    <row r="682">
      <c r="A682" s="6" t="n"/>
      <c r="B682" s="6" t="n"/>
      <c r="C682" s="8" t="n"/>
      <c r="D682" s="14" t="n"/>
      <c r="E682" s="6" t="n"/>
      <c r="F682" s="6">
        <f>IF($B682="","",IFERROR(VLOOKUP($B682,Agents!$A:$C,3,FALSE),"؟"))</f>
        <v/>
      </c>
      <c r="G682" s="6">
        <f>IF($D682="","",YEAR($D682))</f>
        <v/>
      </c>
      <c r="H682" s="6">
        <f>IF($D682="","",ROUNDUP(MONTH($D682)/3,0))</f>
        <v/>
      </c>
    </row>
    <row r="683">
      <c r="A683" s="9" t="n"/>
      <c r="B683" s="9" t="n"/>
      <c r="C683" s="10" t="n"/>
      <c r="D683" s="16" t="n"/>
      <c r="E683" s="9" t="n"/>
      <c r="F683" s="9">
        <f>IF($B683="","",IFERROR(VLOOKUP($B683,Agents!$A:$C,3,FALSE),"؟"))</f>
        <v/>
      </c>
      <c r="G683" s="9">
        <f>IF($D683="","",YEAR($D683))</f>
        <v/>
      </c>
      <c r="H683" s="9">
        <f>IF($D683="","",ROUNDUP(MONTH($D683)/3,0))</f>
        <v/>
      </c>
    </row>
    <row r="684">
      <c r="A684" s="6" t="n"/>
      <c r="B684" s="6" t="n"/>
      <c r="C684" s="8" t="n"/>
      <c r="D684" s="14" t="n"/>
      <c r="E684" s="6" t="n"/>
      <c r="F684" s="6">
        <f>IF($B684="","",IFERROR(VLOOKUP($B684,Agents!$A:$C,3,FALSE),"؟"))</f>
        <v/>
      </c>
      <c r="G684" s="6">
        <f>IF($D684="","",YEAR($D684))</f>
        <v/>
      </c>
      <c r="H684" s="6">
        <f>IF($D684="","",ROUNDUP(MONTH($D684)/3,0))</f>
        <v/>
      </c>
    </row>
    <row r="685">
      <c r="A685" s="9" t="n"/>
      <c r="B685" s="9" t="n"/>
      <c r="C685" s="10" t="n"/>
      <c r="D685" s="16" t="n"/>
      <c r="E685" s="9" t="n"/>
      <c r="F685" s="9">
        <f>IF($B685="","",IFERROR(VLOOKUP($B685,Agents!$A:$C,3,FALSE),"؟"))</f>
        <v/>
      </c>
      <c r="G685" s="9">
        <f>IF($D685="","",YEAR($D685))</f>
        <v/>
      </c>
      <c r="H685" s="9">
        <f>IF($D685="","",ROUNDUP(MONTH($D685)/3,0))</f>
        <v/>
      </c>
    </row>
    <row r="686">
      <c r="A686" s="6" t="n"/>
      <c r="B686" s="6" t="n"/>
      <c r="C686" s="8" t="n"/>
      <c r="D686" s="14" t="n"/>
      <c r="E686" s="6" t="n"/>
      <c r="F686" s="6">
        <f>IF($B686="","",IFERROR(VLOOKUP($B686,Agents!$A:$C,3,FALSE),"؟"))</f>
        <v/>
      </c>
      <c r="G686" s="6">
        <f>IF($D686="","",YEAR($D686))</f>
        <v/>
      </c>
      <c r="H686" s="6">
        <f>IF($D686="","",ROUNDUP(MONTH($D686)/3,0))</f>
        <v/>
      </c>
    </row>
    <row r="687">
      <c r="A687" s="9" t="n"/>
      <c r="B687" s="9" t="n"/>
      <c r="C687" s="10" t="n"/>
      <c r="D687" s="16" t="n"/>
      <c r="E687" s="9" t="n"/>
      <c r="F687" s="9">
        <f>IF($B687="","",IFERROR(VLOOKUP($B687,Agents!$A:$C,3,FALSE),"؟"))</f>
        <v/>
      </c>
      <c r="G687" s="9">
        <f>IF($D687="","",YEAR($D687))</f>
        <v/>
      </c>
      <c r="H687" s="9">
        <f>IF($D687="","",ROUNDUP(MONTH($D687)/3,0))</f>
        <v/>
      </c>
    </row>
    <row r="688">
      <c r="A688" s="6" t="n"/>
      <c r="B688" s="6" t="n"/>
      <c r="C688" s="8" t="n"/>
      <c r="D688" s="14" t="n"/>
      <c r="E688" s="6" t="n"/>
      <c r="F688" s="6">
        <f>IF($B688="","",IFERROR(VLOOKUP($B688,Agents!$A:$C,3,FALSE),"؟"))</f>
        <v/>
      </c>
      <c r="G688" s="6">
        <f>IF($D688="","",YEAR($D688))</f>
        <v/>
      </c>
      <c r="H688" s="6">
        <f>IF($D688="","",ROUNDUP(MONTH($D688)/3,0))</f>
        <v/>
      </c>
    </row>
    <row r="689">
      <c r="A689" s="9" t="n"/>
      <c r="B689" s="9" t="n"/>
      <c r="C689" s="10" t="n"/>
      <c r="D689" s="16" t="n"/>
      <c r="E689" s="9" t="n"/>
      <c r="F689" s="9">
        <f>IF($B689="","",IFERROR(VLOOKUP($B689,Agents!$A:$C,3,FALSE),"؟"))</f>
        <v/>
      </c>
      <c r="G689" s="9">
        <f>IF($D689="","",YEAR($D689))</f>
        <v/>
      </c>
      <c r="H689" s="9">
        <f>IF($D689="","",ROUNDUP(MONTH($D689)/3,0))</f>
        <v/>
      </c>
    </row>
    <row r="690">
      <c r="A690" s="6" t="n"/>
      <c r="B690" s="6" t="n"/>
      <c r="C690" s="8" t="n"/>
      <c r="D690" s="14" t="n"/>
      <c r="E690" s="6" t="n"/>
      <c r="F690" s="6">
        <f>IF($B690="","",IFERROR(VLOOKUP($B690,Agents!$A:$C,3,FALSE),"؟"))</f>
        <v/>
      </c>
      <c r="G690" s="6">
        <f>IF($D690="","",YEAR($D690))</f>
        <v/>
      </c>
      <c r="H690" s="6">
        <f>IF($D690="","",ROUNDUP(MONTH($D690)/3,0))</f>
        <v/>
      </c>
    </row>
    <row r="691">
      <c r="A691" s="9" t="n"/>
      <c r="B691" s="9" t="n"/>
      <c r="C691" s="10" t="n"/>
      <c r="D691" s="16" t="n"/>
      <c r="E691" s="9" t="n"/>
      <c r="F691" s="9">
        <f>IF($B691="","",IFERROR(VLOOKUP($B691,Agents!$A:$C,3,FALSE),"؟"))</f>
        <v/>
      </c>
      <c r="G691" s="9">
        <f>IF($D691="","",YEAR($D691))</f>
        <v/>
      </c>
      <c r="H691" s="9">
        <f>IF($D691="","",ROUNDUP(MONTH($D691)/3,0))</f>
        <v/>
      </c>
    </row>
    <row r="692">
      <c r="A692" s="6" t="n"/>
      <c r="B692" s="6" t="n"/>
      <c r="C692" s="8" t="n"/>
      <c r="D692" s="14" t="n"/>
      <c r="E692" s="6" t="n"/>
      <c r="F692" s="6">
        <f>IF($B692="","",IFERROR(VLOOKUP($B692,Agents!$A:$C,3,FALSE),"؟"))</f>
        <v/>
      </c>
      <c r="G692" s="6">
        <f>IF($D692="","",YEAR($D692))</f>
        <v/>
      </c>
      <c r="H692" s="6">
        <f>IF($D692="","",ROUNDUP(MONTH($D692)/3,0))</f>
        <v/>
      </c>
    </row>
    <row r="693">
      <c r="A693" s="9" t="n"/>
      <c r="B693" s="9" t="n"/>
      <c r="C693" s="10" t="n"/>
      <c r="D693" s="16" t="n"/>
      <c r="E693" s="9" t="n"/>
      <c r="F693" s="9">
        <f>IF($B693="","",IFERROR(VLOOKUP($B693,Agents!$A:$C,3,FALSE),"؟"))</f>
        <v/>
      </c>
      <c r="G693" s="9">
        <f>IF($D693="","",YEAR($D693))</f>
        <v/>
      </c>
      <c r="H693" s="9">
        <f>IF($D693="","",ROUNDUP(MONTH($D693)/3,0))</f>
        <v/>
      </c>
    </row>
    <row r="694">
      <c r="A694" s="6" t="n"/>
      <c r="B694" s="6" t="n"/>
      <c r="C694" s="8" t="n"/>
      <c r="D694" s="14" t="n"/>
      <c r="E694" s="6" t="n"/>
      <c r="F694" s="6">
        <f>IF($B694="","",IFERROR(VLOOKUP($B694,Agents!$A:$C,3,FALSE),"؟"))</f>
        <v/>
      </c>
      <c r="G694" s="6">
        <f>IF($D694="","",YEAR($D694))</f>
        <v/>
      </c>
      <c r="H694" s="6">
        <f>IF($D694="","",ROUNDUP(MONTH($D694)/3,0))</f>
        <v/>
      </c>
    </row>
    <row r="695">
      <c r="A695" s="9" t="n"/>
      <c r="B695" s="9" t="n"/>
      <c r="C695" s="10" t="n"/>
      <c r="D695" s="16" t="n"/>
      <c r="E695" s="9" t="n"/>
      <c r="F695" s="9">
        <f>IF($B695="","",IFERROR(VLOOKUP($B695,Agents!$A:$C,3,FALSE),"؟"))</f>
        <v/>
      </c>
      <c r="G695" s="9">
        <f>IF($D695="","",YEAR($D695))</f>
        <v/>
      </c>
      <c r="H695" s="9">
        <f>IF($D695="","",ROUNDUP(MONTH($D695)/3,0))</f>
        <v/>
      </c>
    </row>
    <row r="696">
      <c r="A696" s="6" t="n"/>
      <c r="B696" s="6" t="n"/>
      <c r="C696" s="8" t="n"/>
      <c r="D696" s="14" t="n"/>
      <c r="E696" s="6" t="n"/>
      <c r="F696" s="6">
        <f>IF($B696="","",IFERROR(VLOOKUP($B696,Agents!$A:$C,3,FALSE),"؟"))</f>
        <v/>
      </c>
      <c r="G696" s="6">
        <f>IF($D696="","",YEAR($D696))</f>
        <v/>
      </c>
      <c r="H696" s="6">
        <f>IF($D696="","",ROUNDUP(MONTH($D696)/3,0))</f>
        <v/>
      </c>
    </row>
    <row r="697">
      <c r="A697" s="9" t="n"/>
      <c r="B697" s="9" t="n"/>
      <c r="C697" s="10" t="n"/>
      <c r="D697" s="16" t="n"/>
      <c r="E697" s="9" t="n"/>
      <c r="F697" s="9">
        <f>IF($B697="","",IFERROR(VLOOKUP($B697,Agents!$A:$C,3,FALSE),"؟"))</f>
        <v/>
      </c>
      <c r="G697" s="9">
        <f>IF($D697="","",YEAR($D697))</f>
        <v/>
      </c>
      <c r="H697" s="9">
        <f>IF($D697="","",ROUNDUP(MONTH($D697)/3,0))</f>
        <v/>
      </c>
    </row>
    <row r="698">
      <c r="A698" s="6" t="n"/>
      <c r="B698" s="6" t="n"/>
      <c r="C698" s="8" t="n"/>
      <c r="D698" s="14" t="n"/>
      <c r="E698" s="6" t="n"/>
      <c r="F698" s="6">
        <f>IF($B698="","",IFERROR(VLOOKUP($B698,Agents!$A:$C,3,FALSE),"؟"))</f>
        <v/>
      </c>
      <c r="G698" s="6">
        <f>IF($D698="","",YEAR($D698))</f>
        <v/>
      </c>
      <c r="H698" s="6">
        <f>IF($D698="","",ROUNDUP(MONTH($D698)/3,0))</f>
        <v/>
      </c>
    </row>
    <row r="699">
      <c r="A699" s="9" t="n"/>
      <c r="B699" s="9" t="n"/>
      <c r="C699" s="10" t="n"/>
      <c r="D699" s="16" t="n"/>
      <c r="E699" s="9" t="n"/>
      <c r="F699" s="9">
        <f>IF($B699="","",IFERROR(VLOOKUP($B699,Agents!$A:$C,3,FALSE),"؟"))</f>
        <v/>
      </c>
      <c r="G699" s="9">
        <f>IF($D699="","",YEAR($D699))</f>
        <v/>
      </c>
      <c r="H699" s="9">
        <f>IF($D699="","",ROUNDUP(MONTH($D699)/3,0))</f>
        <v/>
      </c>
    </row>
    <row r="700">
      <c r="A700" s="6" t="n"/>
      <c r="B700" s="6" t="n"/>
      <c r="C700" s="8" t="n"/>
      <c r="D700" s="14" t="n"/>
      <c r="E700" s="6" t="n"/>
      <c r="F700" s="6">
        <f>IF($B700="","",IFERROR(VLOOKUP($B700,Agents!$A:$C,3,FALSE),"؟"))</f>
        <v/>
      </c>
      <c r="G700" s="6">
        <f>IF($D700="","",YEAR($D700))</f>
        <v/>
      </c>
      <c r="H700" s="6">
        <f>IF($D700="","",ROUNDUP(MONTH($D700)/3,0))</f>
        <v/>
      </c>
    </row>
    <row r="701">
      <c r="A701" s="9" t="n"/>
      <c r="B701" s="9" t="n"/>
      <c r="C701" s="10" t="n"/>
      <c r="D701" s="16" t="n"/>
      <c r="E701" s="9" t="n"/>
      <c r="F701" s="9">
        <f>IF($B701="","",IFERROR(VLOOKUP($B701,Agents!$A:$C,3,FALSE),"؟"))</f>
        <v/>
      </c>
      <c r="G701" s="9">
        <f>IF($D701="","",YEAR($D701))</f>
        <v/>
      </c>
      <c r="H701" s="9">
        <f>IF($D701="","",ROUNDUP(MONTH($D701)/3,0))</f>
        <v/>
      </c>
    </row>
    <row r="702">
      <c r="A702" s="6" t="n"/>
      <c r="B702" s="6" t="n"/>
      <c r="C702" s="8" t="n"/>
      <c r="D702" s="14" t="n"/>
      <c r="E702" s="6" t="n"/>
      <c r="F702" s="6">
        <f>IF($B702="","",IFERROR(VLOOKUP($B702,Agents!$A:$C,3,FALSE),"؟"))</f>
        <v/>
      </c>
      <c r="G702" s="6">
        <f>IF($D702="","",YEAR($D702))</f>
        <v/>
      </c>
      <c r="H702" s="6">
        <f>IF($D702="","",ROUNDUP(MONTH($D702)/3,0))</f>
        <v/>
      </c>
    </row>
    <row r="703">
      <c r="A703" s="9" t="n"/>
      <c r="B703" s="9" t="n"/>
      <c r="C703" s="10" t="n"/>
      <c r="D703" s="16" t="n"/>
      <c r="E703" s="9" t="n"/>
      <c r="F703" s="9">
        <f>IF($B703="","",IFERROR(VLOOKUP($B703,Agents!$A:$C,3,FALSE),"؟"))</f>
        <v/>
      </c>
      <c r="G703" s="9">
        <f>IF($D703="","",YEAR($D703))</f>
        <v/>
      </c>
      <c r="H703" s="9">
        <f>IF($D703="","",ROUNDUP(MONTH($D703)/3,0))</f>
        <v/>
      </c>
    </row>
    <row r="704">
      <c r="A704" s="6" t="n"/>
      <c r="B704" s="6" t="n"/>
      <c r="C704" s="8" t="n"/>
      <c r="D704" s="14" t="n"/>
      <c r="E704" s="6" t="n"/>
      <c r="F704" s="6">
        <f>IF($B704="","",IFERROR(VLOOKUP($B704,Agents!$A:$C,3,FALSE),"؟"))</f>
        <v/>
      </c>
      <c r="G704" s="6">
        <f>IF($D704="","",YEAR($D704))</f>
        <v/>
      </c>
      <c r="H704" s="6">
        <f>IF($D704="","",ROUNDUP(MONTH($D704)/3,0))</f>
        <v/>
      </c>
    </row>
    <row r="705">
      <c r="A705" s="9" t="n"/>
      <c r="B705" s="9" t="n"/>
      <c r="C705" s="10" t="n"/>
      <c r="D705" s="16" t="n"/>
      <c r="E705" s="9" t="n"/>
      <c r="F705" s="9">
        <f>IF($B705="","",IFERROR(VLOOKUP($B705,Agents!$A:$C,3,FALSE),"؟"))</f>
        <v/>
      </c>
      <c r="G705" s="9">
        <f>IF($D705="","",YEAR($D705))</f>
        <v/>
      </c>
      <c r="H705" s="9">
        <f>IF($D705="","",ROUNDUP(MONTH($D705)/3,0))</f>
        <v/>
      </c>
    </row>
    <row r="706">
      <c r="A706" s="6" t="n"/>
      <c r="B706" s="6" t="n"/>
      <c r="C706" s="8" t="n"/>
      <c r="D706" s="14" t="n"/>
      <c r="E706" s="6" t="n"/>
      <c r="F706" s="6">
        <f>IF($B706="","",IFERROR(VLOOKUP($B706,Agents!$A:$C,3,FALSE),"؟"))</f>
        <v/>
      </c>
      <c r="G706" s="6">
        <f>IF($D706="","",YEAR($D706))</f>
        <v/>
      </c>
      <c r="H706" s="6">
        <f>IF($D706="","",ROUNDUP(MONTH($D706)/3,0))</f>
        <v/>
      </c>
    </row>
    <row r="707">
      <c r="A707" s="9" t="n"/>
      <c r="B707" s="9" t="n"/>
      <c r="C707" s="10" t="n"/>
      <c r="D707" s="16" t="n"/>
      <c r="E707" s="9" t="n"/>
      <c r="F707" s="9">
        <f>IF($B707="","",IFERROR(VLOOKUP($B707,Agents!$A:$C,3,FALSE),"؟"))</f>
        <v/>
      </c>
      <c r="G707" s="9">
        <f>IF($D707="","",YEAR($D707))</f>
        <v/>
      </c>
      <c r="H707" s="9">
        <f>IF($D707="","",ROUNDUP(MONTH($D707)/3,0))</f>
        <v/>
      </c>
    </row>
    <row r="708">
      <c r="A708" s="6" t="n"/>
      <c r="B708" s="6" t="n"/>
      <c r="C708" s="8" t="n"/>
      <c r="D708" s="14" t="n"/>
      <c r="E708" s="6" t="n"/>
      <c r="F708" s="6">
        <f>IF($B708="","",IFERROR(VLOOKUP($B708,Agents!$A:$C,3,FALSE),"؟"))</f>
        <v/>
      </c>
      <c r="G708" s="6">
        <f>IF($D708="","",YEAR($D708))</f>
        <v/>
      </c>
      <c r="H708" s="6">
        <f>IF($D708="","",ROUNDUP(MONTH($D708)/3,0))</f>
        <v/>
      </c>
    </row>
    <row r="709">
      <c r="A709" s="9" t="n"/>
      <c r="B709" s="9" t="n"/>
      <c r="C709" s="10" t="n"/>
      <c r="D709" s="16" t="n"/>
      <c r="E709" s="9" t="n"/>
      <c r="F709" s="9">
        <f>IF($B709="","",IFERROR(VLOOKUP($B709,Agents!$A:$C,3,FALSE),"؟"))</f>
        <v/>
      </c>
      <c r="G709" s="9">
        <f>IF($D709="","",YEAR($D709))</f>
        <v/>
      </c>
      <c r="H709" s="9">
        <f>IF($D709="","",ROUNDUP(MONTH($D709)/3,0))</f>
        <v/>
      </c>
    </row>
    <row r="710">
      <c r="A710" s="6" t="n"/>
      <c r="B710" s="6" t="n"/>
      <c r="C710" s="8" t="n"/>
      <c r="D710" s="14" t="n"/>
      <c r="E710" s="6" t="n"/>
      <c r="F710" s="6">
        <f>IF($B710="","",IFERROR(VLOOKUP($B710,Agents!$A:$C,3,FALSE),"؟"))</f>
        <v/>
      </c>
      <c r="G710" s="6">
        <f>IF($D710="","",YEAR($D710))</f>
        <v/>
      </c>
      <c r="H710" s="6">
        <f>IF($D710="","",ROUNDUP(MONTH($D710)/3,0))</f>
        <v/>
      </c>
    </row>
    <row r="711">
      <c r="A711" s="9" t="n"/>
      <c r="B711" s="9" t="n"/>
      <c r="C711" s="10" t="n"/>
      <c r="D711" s="16" t="n"/>
      <c r="E711" s="9" t="n"/>
      <c r="F711" s="9">
        <f>IF($B711="","",IFERROR(VLOOKUP($B711,Agents!$A:$C,3,FALSE),"؟"))</f>
        <v/>
      </c>
      <c r="G711" s="9">
        <f>IF($D711="","",YEAR($D711))</f>
        <v/>
      </c>
      <c r="H711" s="9">
        <f>IF($D711="","",ROUNDUP(MONTH($D711)/3,0))</f>
        <v/>
      </c>
    </row>
    <row r="712">
      <c r="A712" s="6" t="n"/>
      <c r="B712" s="6" t="n"/>
      <c r="C712" s="8" t="n"/>
      <c r="D712" s="14" t="n"/>
      <c r="E712" s="6" t="n"/>
      <c r="F712" s="6">
        <f>IF($B712="","",IFERROR(VLOOKUP($B712,Agents!$A:$C,3,FALSE),"؟"))</f>
        <v/>
      </c>
      <c r="G712" s="6">
        <f>IF($D712="","",YEAR($D712))</f>
        <v/>
      </c>
      <c r="H712" s="6">
        <f>IF($D712="","",ROUNDUP(MONTH($D712)/3,0))</f>
        <v/>
      </c>
    </row>
    <row r="713">
      <c r="A713" s="9" t="n"/>
      <c r="B713" s="9" t="n"/>
      <c r="C713" s="10" t="n"/>
      <c r="D713" s="16" t="n"/>
      <c r="E713" s="9" t="n"/>
      <c r="F713" s="9">
        <f>IF($B713="","",IFERROR(VLOOKUP($B713,Agents!$A:$C,3,FALSE),"؟"))</f>
        <v/>
      </c>
      <c r="G713" s="9">
        <f>IF($D713="","",YEAR($D713))</f>
        <v/>
      </c>
      <c r="H713" s="9">
        <f>IF($D713="","",ROUNDUP(MONTH($D713)/3,0))</f>
        <v/>
      </c>
    </row>
    <row r="714">
      <c r="A714" s="6" t="n"/>
      <c r="B714" s="6" t="n"/>
      <c r="C714" s="8" t="n"/>
      <c r="D714" s="14" t="n"/>
      <c r="E714" s="6" t="n"/>
      <c r="F714" s="6">
        <f>IF($B714="","",IFERROR(VLOOKUP($B714,Agents!$A:$C,3,FALSE),"؟"))</f>
        <v/>
      </c>
      <c r="G714" s="6">
        <f>IF($D714="","",YEAR($D714))</f>
        <v/>
      </c>
      <c r="H714" s="6">
        <f>IF($D714="","",ROUNDUP(MONTH($D714)/3,0))</f>
        <v/>
      </c>
    </row>
    <row r="715">
      <c r="A715" s="9" t="n"/>
      <c r="B715" s="9" t="n"/>
      <c r="C715" s="10" t="n"/>
      <c r="D715" s="16" t="n"/>
      <c r="E715" s="9" t="n"/>
      <c r="F715" s="9">
        <f>IF($B715="","",IFERROR(VLOOKUP($B715,Agents!$A:$C,3,FALSE),"؟"))</f>
        <v/>
      </c>
      <c r="G715" s="9">
        <f>IF($D715="","",YEAR($D715))</f>
        <v/>
      </c>
      <c r="H715" s="9">
        <f>IF($D715="","",ROUNDUP(MONTH($D715)/3,0))</f>
        <v/>
      </c>
    </row>
    <row r="716">
      <c r="A716" s="6" t="n"/>
      <c r="B716" s="6" t="n"/>
      <c r="C716" s="8" t="n"/>
      <c r="D716" s="14" t="n"/>
      <c r="E716" s="6" t="n"/>
      <c r="F716" s="6">
        <f>IF($B716="","",IFERROR(VLOOKUP($B716,Agents!$A:$C,3,FALSE),"؟"))</f>
        <v/>
      </c>
      <c r="G716" s="6">
        <f>IF($D716="","",YEAR($D716))</f>
        <v/>
      </c>
      <c r="H716" s="6">
        <f>IF($D716="","",ROUNDUP(MONTH($D716)/3,0))</f>
        <v/>
      </c>
    </row>
    <row r="717">
      <c r="A717" s="9" t="n"/>
      <c r="B717" s="9" t="n"/>
      <c r="C717" s="10" t="n"/>
      <c r="D717" s="16" t="n"/>
      <c r="E717" s="9" t="n"/>
      <c r="F717" s="9">
        <f>IF($B717="","",IFERROR(VLOOKUP($B717,Agents!$A:$C,3,FALSE),"؟"))</f>
        <v/>
      </c>
      <c r="G717" s="9">
        <f>IF($D717="","",YEAR($D717))</f>
        <v/>
      </c>
      <c r="H717" s="9">
        <f>IF($D717="","",ROUNDUP(MONTH($D717)/3,0))</f>
        <v/>
      </c>
    </row>
    <row r="718">
      <c r="A718" s="6" t="n"/>
      <c r="B718" s="6" t="n"/>
      <c r="C718" s="8" t="n"/>
      <c r="D718" s="14" t="n"/>
      <c r="E718" s="6" t="n"/>
      <c r="F718" s="6">
        <f>IF($B718="","",IFERROR(VLOOKUP($B718,Agents!$A:$C,3,FALSE),"؟"))</f>
        <v/>
      </c>
      <c r="G718" s="6">
        <f>IF($D718="","",YEAR($D718))</f>
        <v/>
      </c>
      <c r="H718" s="6">
        <f>IF($D718="","",ROUNDUP(MONTH($D718)/3,0))</f>
        <v/>
      </c>
    </row>
    <row r="719">
      <c r="A719" s="9" t="n"/>
      <c r="B719" s="9" t="n"/>
      <c r="C719" s="10" t="n"/>
      <c r="D719" s="16" t="n"/>
      <c r="E719" s="9" t="n"/>
      <c r="F719" s="9">
        <f>IF($B719="","",IFERROR(VLOOKUP($B719,Agents!$A:$C,3,FALSE),"؟"))</f>
        <v/>
      </c>
      <c r="G719" s="9">
        <f>IF($D719="","",YEAR($D719))</f>
        <v/>
      </c>
      <c r="H719" s="9">
        <f>IF($D719="","",ROUNDUP(MONTH($D719)/3,0))</f>
        <v/>
      </c>
    </row>
    <row r="720">
      <c r="A720" s="6" t="n"/>
      <c r="B720" s="6" t="n"/>
      <c r="C720" s="8" t="n"/>
      <c r="D720" s="14" t="n"/>
      <c r="E720" s="6" t="n"/>
      <c r="F720" s="6">
        <f>IF($B720="","",IFERROR(VLOOKUP($B720,Agents!$A:$C,3,FALSE),"؟"))</f>
        <v/>
      </c>
      <c r="G720" s="6">
        <f>IF($D720="","",YEAR($D720))</f>
        <v/>
      </c>
      <c r="H720" s="6">
        <f>IF($D720="","",ROUNDUP(MONTH($D720)/3,0))</f>
        <v/>
      </c>
    </row>
    <row r="721">
      <c r="A721" s="9" t="n"/>
      <c r="B721" s="9" t="n"/>
      <c r="C721" s="10" t="n"/>
      <c r="D721" s="16" t="n"/>
      <c r="E721" s="9" t="n"/>
      <c r="F721" s="9">
        <f>IF($B721="","",IFERROR(VLOOKUP($B721,Agents!$A:$C,3,FALSE),"؟"))</f>
        <v/>
      </c>
      <c r="G721" s="9">
        <f>IF($D721="","",YEAR($D721))</f>
        <v/>
      </c>
      <c r="H721" s="9">
        <f>IF($D721="","",ROUNDUP(MONTH($D721)/3,0))</f>
        <v/>
      </c>
    </row>
    <row r="722">
      <c r="A722" s="6" t="n"/>
      <c r="B722" s="6" t="n"/>
      <c r="C722" s="8" t="n"/>
      <c r="D722" s="14" t="n"/>
      <c r="E722" s="6" t="n"/>
      <c r="F722" s="6">
        <f>IF($B722="","",IFERROR(VLOOKUP($B722,Agents!$A:$C,3,FALSE),"؟"))</f>
        <v/>
      </c>
      <c r="G722" s="6">
        <f>IF($D722="","",YEAR($D722))</f>
        <v/>
      </c>
      <c r="H722" s="6">
        <f>IF($D722="","",ROUNDUP(MONTH($D722)/3,0))</f>
        <v/>
      </c>
    </row>
    <row r="723">
      <c r="A723" s="9" t="n"/>
      <c r="B723" s="9" t="n"/>
      <c r="C723" s="10" t="n"/>
      <c r="D723" s="16" t="n"/>
      <c r="E723" s="9" t="n"/>
      <c r="F723" s="9">
        <f>IF($B723="","",IFERROR(VLOOKUP($B723,Agents!$A:$C,3,FALSE),"؟"))</f>
        <v/>
      </c>
      <c r="G723" s="9">
        <f>IF($D723="","",YEAR($D723))</f>
        <v/>
      </c>
      <c r="H723" s="9">
        <f>IF($D723="","",ROUNDUP(MONTH($D723)/3,0))</f>
        <v/>
      </c>
    </row>
    <row r="724">
      <c r="A724" s="6" t="n"/>
      <c r="B724" s="6" t="n"/>
      <c r="C724" s="8" t="n"/>
      <c r="D724" s="14" t="n"/>
      <c r="E724" s="6" t="n"/>
      <c r="F724" s="6">
        <f>IF($B724="","",IFERROR(VLOOKUP($B724,Agents!$A:$C,3,FALSE),"؟"))</f>
        <v/>
      </c>
      <c r="G724" s="6">
        <f>IF($D724="","",YEAR($D724))</f>
        <v/>
      </c>
      <c r="H724" s="6">
        <f>IF($D724="","",ROUNDUP(MONTH($D724)/3,0))</f>
        <v/>
      </c>
    </row>
    <row r="725">
      <c r="A725" s="9" t="n"/>
      <c r="B725" s="9" t="n"/>
      <c r="C725" s="10" t="n"/>
      <c r="D725" s="16" t="n"/>
      <c r="E725" s="9" t="n"/>
      <c r="F725" s="9">
        <f>IF($B725="","",IFERROR(VLOOKUP($B725,Agents!$A:$C,3,FALSE),"؟"))</f>
        <v/>
      </c>
      <c r="G725" s="9">
        <f>IF($D725="","",YEAR($D725))</f>
        <v/>
      </c>
      <c r="H725" s="9">
        <f>IF($D725="","",ROUNDUP(MONTH($D725)/3,0))</f>
        <v/>
      </c>
    </row>
    <row r="726">
      <c r="A726" s="6" t="n"/>
      <c r="B726" s="6" t="n"/>
      <c r="C726" s="8" t="n"/>
      <c r="D726" s="14" t="n"/>
      <c r="E726" s="6" t="n"/>
      <c r="F726" s="6">
        <f>IF($B726="","",IFERROR(VLOOKUP($B726,Agents!$A:$C,3,FALSE),"؟"))</f>
        <v/>
      </c>
      <c r="G726" s="6">
        <f>IF($D726="","",YEAR($D726))</f>
        <v/>
      </c>
      <c r="H726" s="6">
        <f>IF($D726="","",ROUNDUP(MONTH($D726)/3,0))</f>
        <v/>
      </c>
    </row>
    <row r="727">
      <c r="A727" s="9" t="n"/>
      <c r="B727" s="9" t="n"/>
      <c r="C727" s="10" t="n"/>
      <c r="D727" s="16" t="n"/>
      <c r="E727" s="9" t="n"/>
      <c r="F727" s="9">
        <f>IF($B727="","",IFERROR(VLOOKUP($B727,Agents!$A:$C,3,FALSE),"؟"))</f>
        <v/>
      </c>
      <c r="G727" s="9">
        <f>IF($D727="","",YEAR($D727))</f>
        <v/>
      </c>
      <c r="H727" s="9">
        <f>IF($D727="","",ROUNDUP(MONTH($D727)/3,0))</f>
        <v/>
      </c>
    </row>
    <row r="728">
      <c r="A728" s="6" t="n"/>
      <c r="B728" s="6" t="n"/>
      <c r="C728" s="8" t="n"/>
      <c r="D728" s="14" t="n"/>
      <c r="E728" s="6" t="n"/>
      <c r="F728" s="6">
        <f>IF($B728="","",IFERROR(VLOOKUP($B728,Agents!$A:$C,3,FALSE),"؟"))</f>
        <v/>
      </c>
      <c r="G728" s="6">
        <f>IF($D728="","",YEAR($D728))</f>
        <v/>
      </c>
      <c r="H728" s="6">
        <f>IF($D728="","",ROUNDUP(MONTH($D728)/3,0))</f>
        <v/>
      </c>
    </row>
    <row r="729">
      <c r="A729" s="9" t="n"/>
      <c r="B729" s="9" t="n"/>
      <c r="C729" s="10" t="n"/>
      <c r="D729" s="16" t="n"/>
      <c r="E729" s="9" t="n"/>
      <c r="F729" s="9">
        <f>IF($B729="","",IFERROR(VLOOKUP($B729,Agents!$A:$C,3,FALSE),"؟"))</f>
        <v/>
      </c>
      <c r="G729" s="9">
        <f>IF($D729="","",YEAR($D729))</f>
        <v/>
      </c>
      <c r="H729" s="9">
        <f>IF($D729="","",ROUNDUP(MONTH($D729)/3,0))</f>
        <v/>
      </c>
    </row>
    <row r="730">
      <c r="A730" s="6" t="n"/>
      <c r="B730" s="6" t="n"/>
      <c r="C730" s="8" t="n"/>
      <c r="D730" s="14" t="n"/>
      <c r="E730" s="6" t="n"/>
      <c r="F730" s="6">
        <f>IF($B730="","",IFERROR(VLOOKUP($B730,Agents!$A:$C,3,FALSE),"؟"))</f>
        <v/>
      </c>
      <c r="G730" s="6">
        <f>IF($D730="","",YEAR($D730))</f>
        <v/>
      </c>
      <c r="H730" s="6">
        <f>IF($D730="","",ROUNDUP(MONTH($D730)/3,0))</f>
        <v/>
      </c>
    </row>
    <row r="731">
      <c r="A731" s="9" t="n"/>
      <c r="B731" s="9" t="n"/>
      <c r="C731" s="10" t="n"/>
      <c r="D731" s="16" t="n"/>
      <c r="E731" s="9" t="n"/>
      <c r="F731" s="9">
        <f>IF($B731="","",IFERROR(VLOOKUP($B731,Agents!$A:$C,3,FALSE),"؟"))</f>
        <v/>
      </c>
      <c r="G731" s="9">
        <f>IF($D731="","",YEAR($D731))</f>
        <v/>
      </c>
      <c r="H731" s="9">
        <f>IF($D731="","",ROUNDUP(MONTH($D731)/3,0))</f>
        <v/>
      </c>
    </row>
    <row r="732">
      <c r="A732" s="6" t="n"/>
      <c r="B732" s="6" t="n"/>
      <c r="C732" s="8" t="n"/>
      <c r="D732" s="14" t="n"/>
      <c r="E732" s="6" t="n"/>
      <c r="F732" s="6">
        <f>IF($B732="","",IFERROR(VLOOKUP($B732,Agents!$A:$C,3,FALSE),"؟"))</f>
        <v/>
      </c>
      <c r="G732" s="6">
        <f>IF($D732="","",YEAR($D732))</f>
        <v/>
      </c>
      <c r="H732" s="6">
        <f>IF($D732="","",ROUNDUP(MONTH($D732)/3,0))</f>
        <v/>
      </c>
    </row>
    <row r="733">
      <c r="A733" s="9" t="n"/>
      <c r="B733" s="9" t="n"/>
      <c r="C733" s="10" t="n"/>
      <c r="D733" s="16" t="n"/>
      <c r="E733" s="9" t="n"/>
      <c r="F733" s="9">
        <f>IF($B733="","",IFERROR(VLOOKUP($B733,Agents!$A:$C,3,FALSE),"؟"))</f>
        <v/>
      </c>
      <c r="G733" s="9">
        <f>IF($D733="","",YEAR($D733))</f>
        <v/>
      </c>
      <c r="H733" s="9">
        <f>IF($D733="","",ROUNDUP(MONTH($D733)/3,0))</f>
        <v/>
      </c>
    </row>
    <row r="734">
      <c r="A734" s="6" t="n"/>
      <c r="B734" s="6" t="n"/>
      <c r="C734" s="8" t="n"/>
      <c r="D734" s="14" t="n"/>
      <c r="E734" s="6" t="n"/>
      <c r="F734" s="6">
        <f>IF($B734="","",IFERROR(VLOOKUP($B734,Agents!$A:$C,3,FALSE),"؟"))</f>
        <v/>
      </c>
      <c r="G734" s="6">
        <f>IF($D734="","",YEAR($D734))</f>
        <v/>
      </c>
      <c r="H734" s="6">
        <f>IF($D734="","",ROUNDUP(MONTH($D734)/3,0))</f>
        <v/>
      </c>
    </row>
    <row r="735">
      <c r="A735" s="9" t="n"/>
      <c r="B735" s="9" t="n"/>
      <c r="C735" s="10" t="n"/>
      <c r="D735" s="16" t="n"/>
      <c r="E735" s="9" t="n"/>
      <c r="F735" s="9">
        <f>IF($B735="","",IFERROR(VLOOKUP($B735,Agents!$A:$C,3,FALSE),"؟"))</f>
        <v/>
      </c>
      <c r="G735" s="9">
        <f>IF($D735="","",YEAR($D735))</f>
        <v/>
      </c>
      <c r="H735" s="9">
        <f>IF($D735="","",ROUNDUP(MONTH($D735)/3,0))</f>
        <v/>
      </c>
    </row>
    <row r="736">
      <c r="A736" s="6" t="n"/>
      <c r="B736" s="6" t="n"/>
      <c r="C736" s="8" t="n"/>
      <c r="D736" s="14" t="n"/>
      <c r="E736" s="6" t="n"/>
      <c r="F736" s="6">
        <f>IF($B736="","",IFERROR(VLOOKUP($B736,Agents!$A:$C,3,FALSE),"؟"))</f>
        <v/>
      </c>
      <c r="G736" s="6">
        <f>IF($D736="","",YEAR($D736))</f>
        <v/>
      </c>
      <c r="H736" s="6">
        <f>IF($D736="","",ROUNDUP(MONTH($D736)/3,0))</f>
        <v/>
      </c>
    </row>
    <row r="737">
      <c r="A737" s="9" t="n"/>
      <c r="B737" s="9" t="n"/>
      <c r="C737" s="10" t="n"/>
      <c r="D737" s="16" t="n"/>
      <c r="E737" s="9" t="n"/>
      <c r="F737" s="9">
        <f>IF($B737="","",IFERROR(VLOOKUP($B737,Agents!$A:$C,3,FALSE),"؟"))</f>
        <v/>
      </c>
      <c r="G737" s="9">
        <f>IF($D737="","",YEAR($D737))</f>
        <v/>
      </c>
      <c r="H737" s="9">
        <f>IF($D737="","",ROUNDUP(MONTH($D737)/3,0))</f>
        <v/>
      </c>
    </row>
    <row r="738">
      <c r="A738" s="6" t="n"/>
      <c r="B738" s="6" t="n"/>
      <c r="C738" s="8" t="n"/>
      <c r="D738" s="14" t="n"/>
      <c r="E738" s="6" t="n"/>
      <c r="F738" s="6">
        <f>IF($B738="","",IFERROR(VLOOKUP($B738,Agents!$A:$C,3,FALSE),"؟"))</f>
        <v/>
      </c>
      <c r="G738" s="6">
        <f>IF($D738="","",YEAR($D738))</f>
        <v/>
      </c>
      <c r="H738" s="6">
        <f>IF($D738="","",ROUNDUP(MONTH($D738)/3,0))</f>
        <v/>
      </c>
    </row>
    <row r="739">
      <c r="A739" s="9" t="n"/>
      <c r="B739" s="9" t="n"/>
      <c r="C739" s="10" t="n"/>
      <c r="D739" s="16" t="n"/>
      <c r="E739" s="9" t="n"/>
      <c r="F739" s="9">
        <f>IF($B739="","",IFERROR(VLOOKUP($B739,Agents!$A:$C,3,FALSE),"؟"))</f>
        <v/>
      </c>
      <c r="G739" s="9">
        <f>IF($D739="","",YEAR($D739))</f>
        <v/>
      </c>
      <c r="H739" s="9">
        <f>IF($D739="","",ROUNDUP(MONTH($D739)/3,0))</f>
        <v/>
      </c>
    </row>
    <row r="740">
      <c r="A740" s="6" t="n"/>
      <c r="B740" s="6" t="n"/>
      <c r="C740" s="8" t="n"/>
      <c r="D740" s="14" t="n"/>
      <c r="E740" s="6" t="n"/>
      <c r="F740" s="6">
        <f>IF($B740="","",IFERROR(VLOOKUP($B740,Agents!$A:$C,3,FALSE),"؟"))</f>
        <v/>
      </c>
      <c r="G740" s="6">
        <f>IF($D740="","",YEAR($D740))</f>
        <v/>
      </c>
      <c r="H740" s="6">
        <f>IF($D740="","",ROUNDUP(MONTH($D740)/3,0))</f>
        <v/>
      </c>
    </row>
    <row r="741">
      <c r="A741" s="9" t="n"/>
      <c r="B741" s="9" t="n"/>
      <c r="C741" s="10" t="n"/>
      <c r="D741" s="16" t="n"/>
      <c r="E741" s="9" t="n"/>
      <c r="F741" s="9">
        <f>IF($B741="","",IFERROR(VLOOKUP($B741,Agents!$A:$C,3,FALSE),"؟"))</f>
        <v/>
      </c>
      <c r="G741" s="9">
        <f>IF($D741="","",YEAR($D741))</f>
        <v/>
      </c>
      <c r="H741" s="9">
        <f>IF($D741="","",ROUNDUP(MONTH($D741)/3,0))</f>
        <v/>
      </c>
    </row>
    <row r="742">
      <c r="A742" s="6" t="n"/>
      <c r="B742" s="6" t="n"/>
      <c r="C742" s="8" t="n"/>
      <c r="D742" s="14" t="n"/>
      <c r="E742" s="6" t="n"/>
      <c r="F742" s="6">
        <f>IF($B742="","",IFERROR(VLOOKUP($B742,Agents!$A:$C,3,FALSE),"؟"))</f>
        <v/>
      </c>
      <c r="G742" s="6">
        <f>IF($D742="","",YEAR($D742))</f>
        <v/>
      </c>
      <c r="H742" s="6">
        <f>IF($D742="","",ROUNDUP(MONTH($D742)/3,0))</f>
        <v/>
      </c>
    </row>
    <row r="743">
      <c r="A743" s="9" t="n"/>
      <c r="B743" s="9" t="n"/>
      <c r="C743" s="10" t="n"/>
      <c r="D743" s="16" t="n"/>
      <c r="E743" s="9" t="n"/>
      <c r="F743" s="9">
        <f>IF($B743="","",IFERROR(VLOOKUP($B743,Agents!$A:$C,3,FALSE),"؟"))</f>
        <v/>
      </c>
      <c r="G743" s="9">
        <f>IF($D743="","",YEAR($D743))</f>
        <v/>
      </c>
      <c r="H743" s="9">
        <f>IF($D743="","",ROUNDUP(MONTH($D743)/3,0))</f>
        <v/>
      </c>
    </row>
    <row r="744">
      <c r="A744" s="6" t="n"/>
      <c r="B744" s="6" t="n"/>
      <c r="C744" s="8" t="n"/>
      <c r="D744" s="14" t="n"/>
      <c r="E744" s="6" t="n"/>
      <c r="F744" s="6">
        <f>IF($B744="","",IFERROR(VLOOKUP($B744,Agents!$A:$C,3,FALSE),"؟"))</f>
        <v/>
      </c>
      <c r="G744" s="6">
        <f>IF($D744="","",YEAR($D744))</f>
        <v/>
      </c>
      <c r="H744" s="6">
        <f>IF($D744="","",ROUNDUP(MONTH($D744)/3,0))</f>
        <v/>
      </c>
    </row>
    <row r="745">
      <c r="A745" s="9" t="n"/>
      <c r="B745" s="9" t="n"/>
      <c r="C745" s="10" t="n"/>
      <c r="D745" s="16" t="n"/>
      <c r="E745" s="9" t="n"/>
      <c r="F745" s="9">
        <f>IF($B745="","",IFERROR(VLOOKUP($B745,Agents!$A:$C,3,FALSE),"؟"))</f>
        <v/>
      </c>
      <c r="G745" s="9">
        <f>IF($D745="","",YEAR($D745))</f>
        <v/>
      </c>
      <c r="H745" s="9">
        <f>IF($D745="","",ROUNDUP(MONTH($D745)/3,0))</f>
        <v/>
      </c>
    </row>
    <row r="746">
      <c r="A746" s="6" t="n"/>
      <c r="B746" s="6" t="n"/>
      <c r="C746" s="8" t="n"/>
      <c r="D746" s="14" t="n"/>
      <c r="E746" s="6" t="n"/>
      <c r="F746" s="6">
        <f>IF($B746="","",IFERROR(VLOOKUP($B746,Agents!$A:$C,3,FALSE),"؟"))</f>
        <v/>
      </c>
      <c r="G746" s="6">
        <f>IF($D746="","",YEAR($D746))</f>
        <v/>
      </c>
      <c r="H746" s="6">
        <f>IF($D746="","",ROUNDUP(MONTH($D746)/3,0))</f>
        <v/>
      </c>
    </row>
    <row r="747">
      <c r="A747" s="9" t="n"/>
      <c r="B747" s="9" t="n"/>
      <c r="C747" s="10" t="n"/>
      <c r="D747" s="16" t="n"/>
      <c r="E747" s="9" t="n"/>
      <c r="F747" s="9">
        <f>IF($B747="","",IFERROR(VLOOKUP($B747,Agents!$A:$C,3,FALSE),"؟"))</f>
        <v/>
      </c>
      <c r="G747" s="9">
        <f>IF($D747="","",YEAR($D747))</f>
        <v/>
      </c>
      <c r="H747" s="9">
        <f>IF($D747="","",ROUNDUP(MONTH($D747)/3,0))</f>
        <v/>
      </c>
    </row>
    <row r="748">
      <c r="A748" s="6" t="n"/>
      <c r="B748" s="6" t="n"/>
      <c r="C748" s="8" t="n"/>
      <c r="D748" s="14" t="n"/>
      <c r="E748" s="6" t="n"/>
      <c r="F748" s="6">
        <f>IF($B748="","",IFERROR(VLOOKUP($B748,Agents!$A:$C,3,FALSE),"؟"))</f>
        <v/>
      </c>
      <c r="G748" s="6">
        <f>IF($D748="","",YEAR($D748))</f>
        <v/>
      </c>
      <c r="H748" s="6">
        <f>IF($D748="","",ROUNDUP(MONTH($D748)/3,0))</f>
        <v/>
      </c>
    </row>
    <row r="749">
      <c r="A749" s="9" t="n"/>
      <c r="B749" s="9" t="n"/>
      <c r="C749" s="10" t="n"/>
      <c r="D749" s="16" t="n"/>
      <c r="E749" s="9" t="n"/>
      <c r="F749" s="9">
        <f>IF($B749="","",IFERROR(VLOOKUP($B749,Agents!$A:$C,3,FALSE),"؟"))</f>
        <v/>
      </c>
      <c r="G749" s="9">
        <f>IF($D749="","",YEAR($D749))</f>
        <v/>
      </c>
      <c r="H749" s="9">
        <f>IF($D749="","",ROUNDUP(MONTH($D749)/3,0))</f>
        <v/>
      </c>
    </row>
    <row r="750">
      <c r="A750" s="6" t="n"/>
      <c r="B750" s="6" t="n"/>
      <c r="C750" s="8" t="n"/>
      <c r="D750" s="14" t="n"/>
      <c r="E750" s="6" t="n"/>
      <c r="F750" s="6">
        <f>IF($B750="","",IFERROR(VLOOKUP($B750,Agents!$A:$C,3,FALSE),"؟"))</f>
        <v/>
      </c>
      <c r="G750" s="6">
        <f>IF($D750="","",YEAR($D750))</f>
        <v/>
      </c>
      <c r="H750" s="6">
        <f>IF($D750="","",ROUNDUP(MONTH($D750)/3,0))</f>
        <v/>
      </c>
    </row>
    <row r="751">
      <c r="A751" s="9" t="n"/>
      <c r="B751" s="9" t="n"/>
      <c r="C751" s="10" t="n"/>
      <c r="D751" s="16" t="n"/>
      <c r="E751" s="9" t="n"/>
      <c r="F751" s="9">
        <f>IF($B751="","",IFERROR(VLOOKUP($B751,Agents!$A:$C,3,FALSE),"؟"))</f>
        <v/>
      </c>
      <c r="G751" s="9">
        <f>IF($D751="","",YEAR($D751))</f>
        <v/>
      </c>
      <c r="H751" s="9">
        <f>IF($D751="","",ROUNDUP(MONTH($D751)/3,0))</f>
        <v/>
      </c>
    </row>
    <row r="752">
      <c r="A752" s="6" t="n"/>
      <c r="B752" s="6" t="n"/>
      <c r="C752" s="8" t="n"/>
      <c r="D752" s="14" t="n"/>
      <c r="E752" s="6" t="n"/>
      <c r="F752" s="6">
        <f>IF($B752="","",IFERROR(VLOOKUP($B752,Agents!$A:$C,3,FALSE),"؟"))</f>
        <v/>
      </c>
      <c r="G752" s="6">
        <f>IF($D752="","",YEAR($D752))</f>
        <v/>
      </c>
      <c r="H752" s="6">
        <f>IF($D752="","",ROUNDUP(MONTH($D752)/3,0))</f>
        <v/>
      </c>
    </row>
    <row r="753">
      <c r="A753" s="9" t="n"/>
      <c r="B753" s="9" t="n"/>
      <c r="C753" s="10" t="n"/>
      <c r="D753" s="16" t="n"/>
      <c r="E753" s="9" t="n"/>
      <c r="F753" s="9">
        <f>IF($B753="","",IFERROR(VLOOKUP($B753,Agents!$A:$C,3,FALSE),"؟"))</f>
        <v/>
      </c>
      <c r="G753" s="9">
        <f>IF($D753="","",YEAR($D753))</f>
        <v/>
      </c>
      <c r="H753" s="9">
        <f>IF($D753="","",ROUNDUP(MONTH($D753)/3,0))</f>
        <v/>
      </c>
    </row>
    <row r="754">
      <c r="A754" s="6" t="n"/>
      <c r="B754" s="6" t="n"/>
      <c r="C754" s="8" t="n"/>
      <c r="D754" s="14" t="n"/>
      <c r="E754" s="6" t="n"/>
      <c r="F754" s="6">
        <f>IF($B754="","",IFERROR(VLOOKUP($B754,Agents!$A:$C,3,FALSE),"؟"))</f>
        <v/>
      </c>
      <c r="G754" s="6">
        <f>IF($D754="","",YEAR($D754))</f>
        <v/>
      </c>
      <c r="H754" s="6">
        <f>IF($D754="","",ROUNDUP(MONTH($D754)/3,0))</f>
        <v/>
      </c>
    </row>
    <row r="755">
      <c r="A755" s="9" t="n"/>
      <c r="B755" s="9" t="n"/>
      <c r="C755" s="10" t="n"/>
      <c r="D755" s="16" t="n"/>
      <c r="E755" s="9" t="n"/>
      <c r="F755" s="9">
        <f>IF($B755="","",IFERROR(VLOOKUP($B755,Agents!$A:$C,3,FALSE),"؟"))</f>
        <v/>
      </c>
      <c r="G755" s="9">
        <f>IF($D755="","",YEAR($D755))</f>
        <v/>
      </c>
      <c r="H755" s="9">
        <f>IF($D755="","",ROUNDUP(MONTH($D755)/3,0))</f>
        <v/>
      </c>
    </row>
    <row r="756">
      <c r="A756" s="6" t="n"/>
      <c r="B756" s="6" t="n"/>
      <c r="C756" s="8" t="n"/>
      <c r="D756" s="14" t="n"/>
      <c r="E756" s="6" t="n"/>
      <c r="F756" s="6">
        <f>IF($B756="","",IFERROR(VLOOKUP($B756,Agents!$A:$C,3,FALSE),"؟"))</f>
        <v/>
      </c>
      <c r="G756" s="6">
        <f>IF($D756="","",YEAR($D756))</f>
        <v/>
      </c>
      <c r="H756" s="6">
        <f>IF($D756="","",ROUNDUP(MONTH($D756)/3,0))</f>
        <v/>
      </c>
    </row>
    <row r="757">
      <c r="A757" s="9" t="n"/>
      <c r="B757" s="9" t="n"/>
      <c r="C757" s="10" t="n"/>
      <c r="D757" s="16" t="n"/>
      <c r="E757" s="9" t="n"/>
      <c r="F757" s="9">
        <f>IF($B757="","",IFERROR(VLOOKUP($B757,Agents!$A:$C,3,FALSE),"؟"))</f>
        <v/>
      </c>
      <c r="G757" s="9">
        <f>IF($D757="","",YEAR($D757))</f>
        <v/>
      </c>
      <c r="H757" s="9">
        <f>IF($D757="","",ROUNDUP(MONTH($D757)/3,0))</f>
        <v/>
      </c>
    </row>
    <row r="758">
      <c r="A758" s="6" t="n"/>
      <c r="B758" s="6" t="n"/>
      <c r="C758" s="8" t="n"/>
      <c r="D758" s="14" t="n"/>
      <c r="E758" s="6" t="n"/>
      <c r="F758" s="6">
        <f>IF($B758="","",IFERROR(VLOOKUP($B758,Agents!$A:$C,3,FALSE),"؟"))</f>
        <v/>
      </c>
      <c r="G758" s="6">
        <f>IF($D758="","",YEAR($D758))</f>
        <v/>
      </c>
      <c r="H758" s="6">
        <f>IF($D758="","",ROUNDUP(MONTH($D758)/3,0))</f>
        <v/>
      </c>
    </row>
    <row r="759">
      <c r="A759" s="9" t="n"/>
      <c r="B759" s="9" t="n"/>
      <c r="C759" s="10" t="n"/>
      <c r="D759" s="16" t="n"/>
      <c r="E759" s="9" t="n"/>
      <c r="F759" s="9">
        <f>IF($B759="","",IFERROR(VLOOKUP($B759,Agents!$A:$C,3,FALSE),"؟"))</f>
        <v/>
      </c>
      <c r="G759" s="9">
        <f>IF($D759="","",YEAR($D759))</f>
        <v/>
      </c>
      <c r="H759" s="9">
        <f>IF($D759="","",ROUNDUP(MONTH($D759)/3,0))</f>
        <v/>
      </c>
    </row>
    <row r="760">
      <c r="A760" s="6" t="n"/>
      <c r="B760" s="6" t="n"/>
      <c r="C760" s="8" t="n"/>
      <c r="D760" s="14" t="n"/>
      <c r="E760" s="6" t="n"/>
      <c r="F760" s="6">
        <f>IF($B760="","",IFERROR(VLOOKUP($B760,Agents!$A:$C,3,FALSE),"؟"))</f>
        <v/>
      </c>
      <c r="G760" s="6">
        <f>IF($D760="","",YEAR($D760))</f>
        <v/>
      </c>
      <c r="H760" s="6">
        <f>IF($D760="","",ROUNDUP(MONTH($D760)/3,0))</f>
        <v/>
      </c>
    </row>
    <row r="761">
      <c r="A761" s="9" t="n"/>
      <c r="B761" s="9" t="n"/>
      <c r="C761" s="10" t="n"/>
      <c r="D761" s="16" t="n"/>
      <c r="E761" s="9" t="n"/>
      <c r="F761" s="9">
        <f>IF($B761="","",IFERROR(VLOOKUP($B761,Agents!$A:$C,3,FALSE),"؟"))</f>
        <v/>
      </c>
      <c r="G761" s="9">
        <f>IF($D761="","",YEAR($D761))</f>
        <v/>
      </c>
      <c r="H761" s="9">
        <f>IF($D761="","",ROUNDUP(MONTH($D761)/3,0))</f>
        <v/>
      </c>
    </row>
    <row r="762">
      <c r="A762" s="6" t="n"/>
      <c r="B762" s="6" t="n"/>
      <c r="C762" s="8" t="n"/>
      <c r="D762" s="14" t="n"/>
      <c r="E762" s="6" t="n"/>
      <c r="F762" s="6">
        <f>IF($B762="","",IFERROR(VLOOKUP($B762,Agents!$A:$C,3,FALSE),"؟"))</f>
        <v/>
      </c>
      <c r="G762" s="6">
        <f>IF($D762="","",YEAR($D762))</f>
        <v/>
      </c>
      <c r="H762" s="6">
        <f>IF($D762="","",ROUNDUP(MONTH($D762)/3,0))</f>
        <v/>
      </c>
    </row>
    <row r="763">
      <c r="A763" s="9" t="n"/>
      <c r="B763" s="9" t="n"/>
      <c r="C763" s="10" t="n"/>
      <c r="D763" s="16" t="n"/>
      <c r="E763" s="9" t="n"/>
      <c r="F763" s="9">
        <f>IF($B763="","",IFERROR(VLOOKUP($B763,Agents!$A:$C,3,FALSE),"؟"))</f>
        <v/>
      </c>
      <c r="G763" s="9">
        <f>IF($D763="","",YEAR($D763))</f>
        <v/>
      </c>
      <c r="H763" s="9">
        <f>IF($D763="","",ROUNDUP(MONTH($D763)/3,0))</f>
        <v/>
      </c>
    </row>
    <row r="764">
      <c r="A764" s="6" t="n"/>
      <c r="B764" s="6" t="n"/>
      <c r="C764" s="8" t="n"/>
      <c r="D764" s="14" t="n"/>
      <c r="E764" s="6" t="n"/>
      <c r="F764" s="6">
        <f>IF($B764="","",IFERROR(VLOOKUP($B764,Agents!$A:$C,3,FALSE),"؟"))</f>
        <v/>
      </c>
      <c r="G764" s="6">
        <f>IF($D764="","",YEAR($D764))</f>
        <v/>
      </c>
      <c r="H764" s="6">
        <f>IF($D764="","",ROUNDUP(MONTH($D764)/3,0))</f>
        <v/>
      </c>
    </row>
    <row r="765">
      <c r="A765" s="9" t="n"/>
      <c r="B765" s="9" t="n"/>
      <c r="C765" s="10" t="n"/>
      <c r="D765" s="16" t="n"/>
      <c r="E765" s="9" t="n"/>
      <c r="F765" s="9">
        <f>IF($B765="","",IFERROR(VLOOKUP($B765,Agents!$A:$C,3,FALSE),"؟"))</f>
        <v/>
      </c>
      <c r="G765" s="9">
        <f>IF($D765="","",YEAR($D765))</f>
        <v/>
      </c>
      <c r="H765" s="9">
        <f>IF($D765="","",ROUNDUP(MONTH($D765)/3,0))</f>
        <v/>
      </c>
    </row>
    <row r="766">
      <c r="A766" s="6" t="n"/>
      <c r="B766" s="6" t="n"/>
      <c r="C766" s="8" t="n"/>
      <c r="D766" s="14" t="n"/>
      <c r="E766" s="6" t="n"/>
      <c r="F766" s="6">
        <f>IF($B766="","",IFERROR(VLOOKUP($B766,Agents!$A:$C,3,FALSE),"؟"))</f>
        <v/>
      </c>
      <c r="G766" s="6">
        <f>IF($D766="","",YEAR($D766))</f>
        <v/>
      </c>
      <c r="H766" s="6">
        <f>IF($D766="","",ROUNDUP(MONTH($D766)/3,0))</f>
        <v/>
      </c>
    </row>
    <row r="767">
      <c r="A767" s="9" t="n"/>
      <c r="B767" s="9" t="n"/>
      <c r="C767" s="10" t="n"/>
      <c r="D767" s="16" t="n"/>
      <c r="E767" s="9" t="n"/>
      <c r="F767" s="9">
        <f>IF($B767="","",IFERROR(VLOOKUP($B767,Agents!$A:$C,3,FALSE),"؟"))</f>
        <v/>
      </c>
      <c r="G767" s="9">
        <f>IF($D767="","",YEAR($D767))</f>
        <v/>
      </c>
      <c r="H767" s="9">
        <f>IF($D767="","",ROUNDUP(MONTH($D767)/3,0))</f>
        <v/>
      </c>
    </row>
    <row r="768">
      <c r="A768" s="6" t="n"/>
      <c r="B768" s="6" t="n"/>
      <c r="C768" s="8" t="n"/>
      <c r="D768" s="14" t="n"/>
      <c r="E768" s="6" t="n"/>
      <c r="F768" s="6">
        <f>IF($B768="","",IFERROR(VLOOKUP($B768,Agents!$A:$C,3,FALSE),"؟"))</f>
        <v/>
      </c>
      <c r="G768" s="6">
        <f>IF($D768="","",YEAR($D768))</f>
        <v/>
      </c>
      <c r="H768" s="6">
        <f>IF($D768="","",ROUNDUP(MONTH($D768)/3,0))</f>
        <v/>
      </c>
    </row>
    <row r="769">
      <c r="A769" s="9" t="n"/>
      <c r="B769" s="9" t="n"/>
      <c r="C769" s="10" t="n"/>
      <c r="D769" s="16" t="n"/>
      <c r="E769" s="9" t="n"/>
      <c r="F769" s="9">
        <f>IF($B769="","",IFERROR(VLOOKUP($B769,Agents!$A:$C,3,FALSE),"؟"))</f>
        <v/>
      </c>
      <c r="G769" s="9">
        <f>IF($D769="","",YEAR($D769))</f>
        <v/>
      </c>
      <c r="H769" s="9">
        <f>IF($D769="","",ROUNDUP(MONTH($D769)/3,0))</f>
        <v/>
      </c>
    </row>
    <row r="770">
      <c r="A770" s="6" t="n"/>
      <c r="B770" s="6" t="n"/>
      <c r="C770" s="8" t="n"/>
      <c r="D770" s="14" t="n"/>
      <c r="E770" s="6" t="n"/>
      <c r="F770" s="6">
        <f>IF($B770="","",IFERROR(VLOOKUP($B770,Agents!$A:$C,3,FALSE),"؟"))</f>
        <v/>
      </c>
      <c r="G770" s="6">
        <f>IF($D770="","",YEAR($D770))</f>
        <v/>
      </c>
      <c r="H770" s="6">
        <f>IF($D770="","",ROUNDUP(MONTH($D770)/3,0))</f>
        <v/>
      </c>
    </row>
    <row r="771">
      <c r="A771" s="9" t="n"/>
      <c r="B771" s="9" t="n"/>
      <c r="C771" s="10" t="n"/>
      <c r="D771" s="16" t="n"/>
      <c r="E771" s="9" t="n"/>
      <c r="F771" s="9">
        <f>IF($B771="","",IFERROR(VLOOKUP($B771,Agents!$A:$C,3,FALSE),"؟"))</f>
        <v/>
      </c>
      <c r="G771" s="9">
        <f>IF($D771="","",YEAR($D771))</f>
        <v/>
      </c>
      <c r="H771" s="9">
        <f>IF($D771="","",ROUNDUP(MONTH($D771)/3,0))</f>
        <v/>
      </c>
    </row>
    <row r="772">
      <c r="A772" s="6" t="n"/>
      <c r="B772" s="6" t="n"/>
      <c r="C772" s="8" t="n"/>
      <c r="D772" s="14" t="n"/>
      <c r="E772" s="6" t="n"/>
      <c r="F772" s="6">
        <f>IF($B772="","",IFERROR(VLOOKUP($B772,Agents!$A:$C,3,FALSE),"؟"))</f>
        <v/>
      </c>
      <c r="G772" s="6">
        <f>IF($D772="","",YEAR($D772))</f>
        <v/>
      </c>
      <c r="H772" s="6">
        <f>IF($D772="","",ROUNDUP(MONTH($D772)/3,0))</f>
        <v/>
      </c>
    </row>
    <row r="773">
      <c r="A773" s="9" t="n"/>
      <c r="B773" s="9" t="n"/>
      <c r="C773" s="10" t="n"/>
      <c r="D773" s="16" t="n"/>
      <c r="E773" s="9" t="n"/>
      <c r="F773" s="9">
        <f>IF($B773="","",IFERROR(VLOOKUP($B773,Agents!$A:$C,3,FALSE),"؟"))</f>
        <v/>
      </c>
      <c r="G773" s="9">
        <f>IF($D773="","",YEAR($D773))</f>
        <v/>
      </c>
      <c r="H773" s="9">
        <f>IF($D773="","",ROUNDUP(MONTH($D773)/3,0))</f>
        <v/>
      </c>
    </row>
    <row r="774">
      <c r="A774" s="6" t="n"/>
      <c r="B774" s="6" t="n"/>
      <c r="C774" s="8" t="n"/>
      <c r="D774" s="14" t="n"/>
      <c r="E774" s="6" t="n"/>
      <c r="F774" s="6">
        <f>IF($B774="","",IFERROR(VLOOKUP($B774,Agents!$A:$C,3,FALSE),"؟"))</f>
        <v/>
      </c>
      <c r="G774" s="6">
        <f>IF($D774="","",YEAR($D774))</f>
        <v/>
      </c>
      <c r="H774" s="6">
        <f>IF($D774="","",ROUNDUP(MONTH($D774)/3,0))</f>
        <v/>
      </c>
    </row>
    <row r="775">
      <c r="A775" s="9" t="n"/>
      <c r="B775" s="9" t="n"/>
      <c r="C775" s="10" t="n"/>
      <c r="D775" s="16" t="n"/>
      <c r="E775" s="9" t="n"/>
      <c r="F775" s="9">
        <f>IF($B775="","",IFERROR(VLOOKUP($B775,Agents!$A:$C,3,FALSE),"؟"))</f>
        <v/>
      </c>
      <c r="G775" s="9">
        <f>IF($D775="","",YEAR($D775))</f>
        <v/>
      </c>
      <c r="H775" s="9">
        <f>IF($D775="","",ROUNDUP(MONTH($D775)/3,0))</f>
        <v/>
      </c>
    </row>
    <row r="776">
      <c r="A776" s="6" t="n"/>
      <c r="B776" s="6" t="n"/>
      <c r="C776" s="8" t="n"/>
      <c r="D776" s="14" t="n"/>
      <c r="E776" s="6" t="n"/>
      <c r="F776" s="6">
        <f>IF($B776="","",IFERROR(VLOOKUP($B776,Agents!$A:$C,3,FALSE),"؟"))</f>
        <v/>
      </c>
      <c r="G776" s="6">
        <f>IF($D776="","",YEAR($D776))</f>
        <v/>
      </c>
      <c r="H776" s="6">
        <f>IF($D776="","",ROUNDUP(MONTH($D776)/3,0))</f>
        <v/>
      </c>
    </row>
    <row r="777">
      <c r="A777" s="9" t="n"/>
      <c r="B777" s="9" t="n"/>
      <c r="C777" s="10" t="n"/>
      <c r="D777" s="16" t="n"/>
      <c r="E777" s="9" t="n"/>
      <c r="F777" s="9">
        <f>IF($B777="","",IFERROR(VLOOKUP($B777,Agents!$A:$C,3,FALSE),"؟"))</f>
        <v/>
      </c>
      <c r="G777" s="9">
        <f>IF($D777="","",YEAR($D777))</f>
        <v/>
      </c>
      <c r="H777" s="9">
        <f>IF($D777="","",ROUNDUP(MONTH($D777)/3,0))</f>
        <v/>
      </c>
    </row>
    <row r="778">
      <c r="A778" s="6" t="n"/>
      <c r="B778" s="6" t="n"/>
      <c r="C778" s="8" t="n"/>
      <c r="D778" s="14" t="n"/>
      <c r="E778" s="6" t="n"/>
      <c r="F778" s="6">
        <f>IF($B778="","",IFERROR(VLOOKUP($B778,Agents!$A:$C,3,FALSE),"؟"))</f>
        <v/>
      </c>
      <c r="G778" s="6">
        <f>IF($D778="","",YEAR($D778))</f>
        <v/>
      </c>
      <c r="H778" s="6">
        <f>IF($D778="","",ROUNDUP(MONTH($D778)/3,0))</f>
        <v/>
      </c>
    </row>
    <row r="779">
      <c r="A779" s="9" t="n"/>
      <c r="B779" s="9" t="n"/>
      <c r="C779" s="10" t="n"/>
      <c r="D779" s="16" t="n"/>
      <c r="E779" s="9" t="n"/>
      <c r="F779" s="9">
        <f>IF($B779="","",IFERROR(VLOOKUP($B779,Agents!$A:$C,3,FALSE),"؟"))</f>
        <v/>
      </c>
      <c r="G779" s="9">
        <f>IF($D779="","",YEAR($D779))</f>
        <v/>
      </c>
      <c r="H779" s="9">
        <f>IF($D779="","",ROUNDUP(MONTH($D779)/3,0))</f>
        <v/>
      </c>
    </row>
    <row r="780">
      <c r="A780" s="6" t="n"/>
      <c r="B780" s="6" t="n"/>
      <c r="C780" s="8" t="n"/>
      <c r="D780" s="14" t="n"/>
      <c r="E780" s="6" t="n"/>
      <c r="F780" s="6">
        <f>IF($B780="","",IFERROR(VLOOKUP($B780,Agents!$A:$C,3,FALSE),"؟"))</f>
        <v/>
      </c>
      <c r="G780" s="6">
        <f>IF($D780="","",YEAR($D780))</f>
        <v/>
      </c>
      <c r="H780" s="6">
        <f>IF($D780="","",ROUNDUP(MONTH($D780)/3,0))</f>
        <v/>
      </c>
    </row>
    <row r="781">
      <c r="A781" s="9" t="n"/>
      <c r="B781" s="9" t="n"/>
      <c r="C781" s="10" t="n"/>
      <c r="D781" s="16" t="n"/>
      <c r="E781" s="9" t="n"/>
      <c r="F781" s="9">
        <f>IF($B781="","",IFERROR(VLOOKUP($B781,Agents!$A:$C,3,FALSE),"؟"))</f>
        <v/>
      </c>
      <c r="G781" s="9">
        <f>IF($D781="","",YEAR($D781))</f>
        <v/>
      </c>
      <c r="H781" s="9">
        <f>IF($D781="","",ROUNDUP(MONTH($D781)/3,0))</f>
        <v/>
      </c>
    </row>
    <row r="782">
      <c r="A782" s="6" t="n"/>
      <c r="B782" s="6" t="n"/>
      <c r="C782" s="8" t="n"/>
      <c r="D782" s="14" t="n"/>
      <c r="E782" s="6" t="n"/>
      <c r="F782" s="6">
        <f>IF($B782="","",IFERROR(VLOOKUP($B782,Agents!$A:$C,3,FALSE),"؟"))</f>
        <v/>
      </c>
      <c r="G782" s="6">
        <f>IF($D782="","",YEAR($D782))</f>
        <v/>
      </c>
      <c r="H782" s="6">
        <f>IF($D782="","",ROUNDUP(MONTH($D782)/3,0))</f>
        <v/>
      </c>
    </row>
    <row r="783">
      <c r="A783" s="9" t="n"/>
      <c r="B783" s="9" t="n"/>
      <c r="C783" s="10" t="n"/>
      <c r="D783" s="16" t="n"/>
      <c r="E783" s="9" t="n"/>
      <c r="F783" s="9">
        <f>IF($B783="","",IFERROR(VLOOKUP($B783,Agents!$A:$C,3,FALSE),"؟"))</f>
        <v/>
      </c>
      <c r="G783" s="9">
        <f>IF($D783="","",YEAR($D783))</f>
        <v/>
      </c>
      <c r="H783" s="9">
        <f>IF($D783="","",ROUNDUP(MONTH($D783)/3,0))</f>
        <v/>
      </c>
    </row>
    <row r="784">
      <c r="A784" s="6" t="n"/>
      <c r="B784" s="6" t="n"/>
      <c r="C784" s="8" t="n"/>
      <c r="D784" s="14" t="n"/>
      <c r="E784" s="6" t="n"/>
      <c r="F784" s="6">
        <f>IF($B784="","",IFERROR(VLOOKUP($B784,Agents!$A:$C,3,FALSE),"؟"))</f>
        <v/>
      </c>
      <c r="G784" s="6">
        <f>IF($D784="","",YEAR($D784))</f>
        <v/>
      </c>
      <c r="H784" s="6">
        <f>IF($D784="","",ROUNDUP(MONTH($D784)/3,0))</f>
        <v/>
      </c>
    </row>
    <row r="785">
      <c r="A785" s="9" t="n"/>
      <c r="B785" s="9" t="n"/>
      <c r="C785" s="10" t="n"/>
      <c r="D785" s="16" t="n"/>
      <c r="E785" s="9" t="n"/>
      <c r="F785" s="9">
        <f>IF($B785="","",IFERROR(VLOOKUP($B785,Agents!$A:$C,3,FALSE),"؟"))</f>
        <v/>
      </c>
      <c r="G785" s="9">
        <f>IF($D785="","",YEAR($D785))</f>
        <v/>
      </c>
      <c r="H785" s="9">
        <f>IF($D785="","",ROUNDUP(MONTH($D785)/3,0))</f>
        <v/>
      </c>
    </row>
    <row r="786">
      <c r="A786" s="6" t="n"/>
      <c r="B786" s="6" t="n"/>
      <c r="C786" s="8" t="n"/>
      <c r="D786" s="14" t="n"/>
      <c r="E786" s="6" t="n"/>
      <c r="F786" s="6">
        <f>IF($B786="","",IFERROR(VLOOKUP($B786,Agents!$A:$C,3,FALSE),"؟"))</f>
        <v/>
      </c>
      <c r="G786" s="6">
        <f>IF($D786="","",YEAR($D786))</f>
        <v/>
      </c>
      <c r="H786" s="6">
        <f>IF($D786="","",ROUNDUP(MONTH($D786)/3,0))</f>
        <v/>
      </c>
    </row>
    <row r="787">
      <c r="A787" s="9" t="n"/>
      <c r="B787" s="9" t="n"/>
      <c r="C787" s="10" t="n"/>
      <c r="D787" s="16" t="n"/>
      <c r="E787" s="9" t="n"/>
      <c r="F787" s="9">
        <f>IF($B787="","",IFERROR(VLOOKUP($B787,Agents!$A:$C,3,FALSE),"؟"))</f>
        <v/>
      </c>
      <c r="G787" s="9">
        <f>IF($D787="","",YEAR($D787))</f>
        <v/>
      </c>
      <c r="H787" s="9">
        <f>IF($D787="","",ROUNDUP(MONTH($D787)/3,0))</f>
        <v/>
      </c>
    </row>
    <row r="788">
      <c r="A788" s="6" t="n"/>
      <c r="B788" s="6" t="n"/>
      <c r="C788" s="8" t="n"/>
      <c r="D788" s="14" t="n"/>
      <c r="E788" s="6" t="n"/>
      <c r="F788" s="6">
        <f>IF($B788="","",IFERROR(VLOOKUP($B788,Agents!$A:$C,3,FALSE),"؟"))</f>
        <v/>
      </c>
      <c r="G788" s="6">
        <f>IF($D788="","",YEAR($D788))</f>
        <v/>
      </c>
      <c r="H788" s="6">
        <f>IF($D788="","",ROUNDUP(MONTH($D788)/3,0))</f>
        <v/>
      </c>
    </row>
    <row r="789">
      <c r="A789" s="9" t="n"/>
      <c r="B789" s="9" t="n"/>
      <c r="C789" s="10" t="n"/>
      <c r="D789" s="16" t="n"/>
      <c r="E789" s="9" t="n"/>
      <c r="F789" s="9">
        <f>IF($B789="","",IFERROR(VLOOKUP($B789,Agents!$A:$C,3,FALSE),"؟"))</f>
        <v/>
      </c>
      <c r="G789" s="9">
        <f>IF($D789="","",YEAR($D789))</f>
        <v/>
      </c>
      <c r="H789" s="9">
        <f>IF($D789="","",ROUNDUP(MONTH($D789)/3,0))</f>
        <v/>
      </c>
    </row>
    <row r="790">
      <c r="A790" s="6" t="n"/>
      <c r="B790" s="6" t="n"/>
      <c r="C790" s="8" t="n"/>
      <c r="D790" s="14" t="n"/>
      <c r="E790" s="6" t="n"/>
      <c r="F790" s="6">
        <f>IF($B790="","",IFERROR(VLOOKUP($B790,Agents!$A:$C,3,FALSE),"؟"))</f>
        <v/>
      </c>
      <c r="G790" s="6">
        <f>IF($D790="","",YEAR($D790))</f>
        <v/>
      </c>
      <c r="H790" s="6">
        <f>IF($D790="","",ROUNDUP(MONTH($D790)/3,0))</f>
        <v/>
      </c>
    </row>
    <row r="791">
      <c r="A791" s="9" t="n"/>
      <c r="B791" s="9" t="n"/>
      <c r="C791" s="10" t="n"/>
      <c r="D791" s="16" t="n"/>
      <c r="E791" s="9" t="n"/>
      <c r="F791" s="9">
        <f>IF($B791="","",IFERROR(VLOOKUP($B791,Agents!$A:$C,3,FALSE),"؟"))</f>
        <v/>
      </c>
      <c r="G791" s="9">
        <f>IF($D791="","",YEAR($D791))</f>
        <v/>
      </c>
      <c r="H791" s="9">
        <f>IF($D791="","",ROUNDUP(MONTH($D791)/3,0))</f>
        <v/>
      </c>
    </row>
    <row r="792">
      <c r="A792" s="6" t="n"/>
      <c r="B792" s="6" t="n"/>
      <c r="C792" s="8" t="n"/>
      <c r="D792" s="14" t="n"/>
      <c r="E792" s="6" t="n"/>
      <c r="F792" s="6">
        <f>IF($B792="","",IFERROR(VLOOKUP($B792,Agents!$A:$C,3,FALSE),"؟"))</f>
        <v/>
      </c>
      <c r="G792" s="6">
        <f>IF($D792="","",YEAR($D792))</f>
        <v/>
      </c>
      <c r="H792" s="6">
        <f>IF($D792="","",ROUNDUP(MONTH($D792)/3,0))</f>
        <v/>
      </c>
    </row>
    <row r="793">
      <c r="A793" s="9" t="n"/>
      <c r="B793" s="9" t="n"/>
      <c r="C793" s="10" t="n"/>
      <c r="D793" s="16" t="n"/>
      <c r="E793" s="9" t="n"/>
      <c r="F793" s="9">
        <f>IF($B793="","",IFERROR(VLOOKUP($B793,Agents!$A:$C,3,FALSE),"؟"))</f>
        <v/>
      </c>
      <c r="G793" s="9">
        <f>IF($D793="","",YEAR($D793))</f>
        <v/>
      </c>
      <c r="H793" s="9">
        <f>IF($D793="","",ROUNDUP(MONTH($D793)/3,0))</f>
        <v/>
      </c>
    </row>
    <row r="794">
      <c r="A794" s="6" t="n"/>
      <c r="B794" s="6" t="n"/>
      <c r="C794" s="8" t="n"/>
      <c r="D794" s="14" t="n"/>
      <c r="E794" s="6" t="n"/>
      <c r="F794" s="6">
        <f>IF($B794="","",IFERROR(VLOOKUP($B794,Agents!$A:$C,3,FALSE),"؟"))</f>
        <v/>
      </c>
      <c r="G794" s="6">
        <f>IF($D794="","",YEAR($D794))</f>
        <v/>
      </c>
      <c r="H794" s="6">
        <f>IF($D794="","",ROUNDUP(MONTH($D794)/3,0))</f>
        <v/>
      </c>
    </row>
    <row r="795">
      <c r="A795" s="9" t="n"/>
      <c r="B795" s="9" t="n"/>
      <c r="C795" s="10" t="n"/>
      <c r="D795" s="16" t="n"/>
      <c r="E795" s="9" t="n"/>
      <c r="F795" s="9">
        <f>IF($B795="","",IFERROR(VLOOKUP($B795,Agents!$A:$C,3,FALSE),"؟"))</f>
        <v/>
      </c>
      <c r="G795" s="9">
        <f>IF($D795="","",YEAR($D795))</f>
        <v/>
      </c>
      <c r="H795" s="9">
        <f>IF($D795="","",ROUNDUP(MONTH($D795)/3,0))</f>
        <v/>
      </c>
    </row>
    <row r="796">
      <c r="A796" s="6" t="n"/>
      <c r="B796" s="6" t="n"/>
      <c r="C796" s="8" t="n"/>
      <c r="D796" s="14" t="n"/>
      <c r="E796" s="6" t="n"/>
      <c r="F796" s="6">
        <f>IF($B796="","",IFERROR(VLOOKUP($B796,Agents!$A:$C,3,FALSE),"؟"))</f>
        <v/>
      </c>
      <c r="G796" s="6">
        <f>IF($D796="","",YEAR($D796))</f>
        <v/>
      </c>
      <c r="H796" s="6">
        <f>IF($D796="","",ROUNDUP(MONTH($D796)/3,0))</f>
        <v/>
      </c>
    </row>
    <row r="797">
      <c r="A797" s="9" t="n"/>
      <c r="B797" s="9" t="n"/>
      <c r="C797" s="10" t="n"/>
      <c r="D797" s="16" t="n"/>
      <c r="E797" s="9" t="n"/>
      <c r="F797" s="9">
        <f>IF($B797="","",IFERROR(VLOOKUP($B797,Agents!$A:$C,3,FALSE),"؟"))</f>
        <v/>
      </c>
      <c r="G797" s="9">
        <f>IF($D797="","",YEAR($D797))</f>
        <v/>
      </c>
      <c r="H797" s="9">
        <f>IF($D797="","",ROUNDUP(MONTH($D797)/3,0))</f>
        <v/>
      </c>
    </row>
    <row r="798">
      <c r="A798" s="6" t="n"/>
      <c r="B798" s="6" t="n"/>
      <c r="C798" s="8" t="n"/>
      <c r="D798" s="14" t="n"/>
      <c r="E798" s="6" t="n"/>
      <c r="F798" s="6">
        <f>IF($B798="","",IFERROR(VLOOKUP($B798,Agents!$A:$C,3,FALSE),"؟"))</f>
        <v/>
      </c>
      <c r="G798" s="6">
        <f>IF($D798="","",YEAR($D798))</f>
        <v/>
      </c>
      <c r="H798" s="6">
        <f>IF($D798="","",ROUNDUP(MONTH($D798)/3,0))</f>
        <v/>
      </c>
    </row>
    <row r="799">
      <c r="A799" s="9" t="n"/>
      <c r="B799" s="9" t="n"/>
      <c r="C799" s="10" t="n"/>
      <c r="D799" s="16" t="n"/>
      <c r="E799" s="9" t="n"/>
      <c r="F799" s="9">
        <f>IF($B799="","",IFERROR(VLOOKUP($B799,Agents!$A:$C,3,FALSE),"؟"))</f>
        <v/>
      </c>
      <c r="G799" s="9">
        <f>IF($D799="","",YEAR($D799))</f>
        <v/>
      </c>
      <c r="H799" s="9">
        <f>IF($D799="","",ROUNDUP(MONTH($D799)/3,0))</f>
        <v/>
      </c>
    </row>
    <row r="800">
      <c r="A800" s="6" t="n"/>
      <c r="B800" s="6" t="n"/>
      <c r="C800" s="8" t="n"/>
      <c r="D800" s="14" t="n"/>
      <c r="E800" s="6" t="n"/>
      <c r="F800" s="6">
        <f>IF($B800="","",IFERROR(VLOOKUP($B800,Agents!$A:$C,3,FALSE),"؟"))</f>
        <v/>
      </c>
      <c r="G800" s="6">
        <f>IF($D800="","",YEAR($D800))</f>
        <v/>
      </c>
      <c r="H800" s="6">
        <f>IF($D800="","",ROUNDUP(MONTH($D800)/3,0))</f>
        <v/>
      </c>
    </row>
    <row r="801">
      <c r="A801" s="9" t="n"/>
      <c r="B801" s="9" t="n"/>
      <c r="C801" s="10" t="n"/>
      <c r="D801" s="16" t="n"/>
      <c r="E801" s="9" t="n"/>
      <c r="F801" s="9">
        <f>IF($B801="","",IFERROR(VLOOKUP($B801,Agents!$A:$C,3,FALSE),"؟"))</f>
        <v/>
      </c>
      <c r="G801" s="9">
        <f>IF($D801="","",YEAR($D801))</f>
        <v/>
      </c>
      <c r="H801" s="9">
        <f>IF($D801="","",ROUNDUP(MONTH($D801)/3,0))</f>
        <v/>
      </c>
    </row>
    <row r="802">
      <c r="A802" s="6" t="n"/>
      <c r="B802" s="6" t="n"/>
      <c r="C802" s="8" t="n"/>
      <c r="D802" s="14" t="n"/>
      <c r="E802" s="6" t="n"/>
      <c r="F802" s="6">
        <f>IF($B802="","",IFERROR(VLOOKUP($B802,Agents!$A:$C,3,FALSE),"؟"))</f>
        <v/>
      </c>
      <c r="G802" s="6">
        <f>IF($D802="","",YEAR($D802))</f>
        <v/>
      </c>
      <c r="H802" s="6">
        <f>IF($D802="","",ROUNDUP(MONTH($D802)/3,0))</f>
        <v/>
      </c>
    </row>
    <row r="803">
      <c r="A803" s="9" t="n"/>
      <c r="B803" s="9" t="n"/>
      <c r="C803" s="10" t="n"/>
      <c r="D803" s="16" t="n"/>
      <c r="E803" s="9" t="n"/>
      <c r="F803" s="9">
        <f>IF($B803="","",IFERROR(VLOOKUP($B803,Agents!$A:$C,3,FALSE),"؟"))</f>
        <v/>
      </c>
      <c r="G803" s="9">
        <f>IF($D803="","",YEAR($D803))</f>
        <v/>
      </c>
      <c r="H803" s="9">
        <f>IF($D803="","",ROUNDUP(MONTH($D803)/3,0))</f>
        <v/>
      </c>
    </row>
    <row r="804">
      <c r="A804" s="6" t="n"/>
      <c r="B804" s="6" t="n"/>
      <c r="C804" s="8" t="n"/>
      <c r="D804" s="14" t="n"/>
      <c r="E804" s="6" t="n"/>
      <c r="F804" s="6">
        <f>IF($B804="","",IFERROR(VLOOKUP($B804,Agents!$A:$C,3,FALSE),"؟"))</f>
        <v/>
      </c>
      <c r="G804" s="6">
        <f>IF($D804="","",YEAR($D804))</f>
        <v/>
      </c>
      <c r="H804" s="6">
        <f>IF($D804="","",ROUNDUP(MONTH($D804)/3,0))</f>
        <v/>
      </c>
    </row>
    <row r="805">
      <c r="A805" s="9" t="n"/>
      <c r="B805" s="9" t="n"/>
      <c r="C805" s="10" t="n"/>
      <c r="D805" s="16" t="n"/>
      <c r="E805" s="9" t="n"/>
      <c r="F805" s="9">
        <f>IF($B805="","",IFERROR(VLOOKUP($B805,Agents!$A:$C,3,FALSE),"؟"))</f>
        <v/>
      </c>
      <c r="G805" s="9">
        <f>IF($D805="","",YEAR($D805))</f>
        <v/>
      </c>
      <c r="H805" s="9">
        <f>IF($D805="","",ROUNDUP(MONTH($D805)/3,0))</f>
        <v/>
      </c>
    </row>
    <row r="806">
      <c r="A806" s="6" t="n"/>
      <c r="B806" s="6" t="n"/>
      <c r="C806" s="8" t="n"/>
      <c r="D806" s="14" t="n"/>
      <c r="E806" s="6" t="n"/>
      <c r="F806" s="6">
        <f>IF($B806="","",IFERROR(VLOOKUP($B806,Agents!$A:$C,3,FALSE),"؟"))</f>
        <v/>
      </c>
      <c r="G806" s="6">
        <f>IF($D806="","",YEAR($D806))</f>
        <v/>
      </c>
      <c r="H806" s="6">
        <f>IF($D806="","",ROUNDUP(MONTH($D806)/3,0))</f>
        <v/>
      </c>
    </row>
    <row r="807">
      <c r="A807" s="9" t="n"/>
      <c r="B807" s="9" t="n"/>
      <c r="C807" s="10" t="n"/>
      <c r="D807" s="16" t="n"/>
      <c r="E807" s="9" t="n"/>
      <c r="F807" s="9">
        <f>IF($B807="","",IFERROR(VLOOKUP($B807,Agents!$A:$C,3,FALSE),"؟"))</f>
        <v/>
      </c>
      <c r="G807" s="9">
        <f>IF($D807="","",YEAR($D807))</f>
        <v/>
      </c>
      <c r="H807" s="9">
        <f>IF($D807="","",ROUNDUP(MONTH($D807)/3,0))</f>
        <v/>
      </c>
    </row>
    <row r="808">
      <c r="A808" s="6" t="n"/>
      <c r="B808" s="6" t="n"/>
      <c r="C808" s="8" t="n"/>
      <c r="D808" s="14" t="n"/>
      <c r="E808" s="6" t="n"/>
      <c r="F808" s="6">
        <f>IF($B808="","",IFERROR(VLOOKUP($B808,Agents!$A:$C,3,FALSE),"؟"))</f>
        <v/>
      </c>
      <c r="G808" s="6">
        <f>IF($D808="","",YEAR($D808))</f>
        <v/>
      </c>
      <c r="H808" s="6">
        <f>IF($D808="","",ROUNDUP(MONTH($D808)/3,0))</f>
        <v/>
      </c>
    </row>
    <row r="809">
      <c r="A809" s="9" t="n"/>
      <c r="B809" s="9" t="n"/>
      <c r="C809" s="10" t="n"/>
      <c r="D809" s="16" t="n"/>
      <c r="E809" s="9" t="n"/>
      <c r="F809" s="9">
        <f>IF($B809="","",IFERROR(VLOOKUP($B809,Agents!$A:$C,3,FALSE),"؟"))</f>
        <v/>
      </c>
      <c r="G809" s="9">
        <f>IF($D809="","",YEAR($D809))</f>
        <v/>
      </c>
      <c r="H809" s="9">
        <f>IF($D809="","",ROUNDUP(MONTH($D809)/3,0))</f>
        <v/>
      </c>
    </row>
    <row r="810">
      <c r="A810" s="6" t="n"/>
      <c r="B810" s="6" t="n"/>
      <c r="C810" s="8" t="n"/>
      <c r="D810" s="14" t="n"/>
      <c r="E810" s="6" t="n"/>
      <c r="F810" s="6">
        <f>IF($B810="","",IFERROR(VLOOKUP($B810,Agents!$A:$C,3,FALSE),"؟"))</f>
        <v/>
      </c>
      <c r="G810" s="6">
        <f>IF($D810="","",YEAR($D810))</f>
        <v/>
      </c>
      <c r="H810" s="6">
        <f>IF($D810="","",ROUNDUP(MONTH($D810)/3,0))</f>
        <v/>
      </c>
    </row>
    <row r="811">
      <c r="A811" s="9" t="n"/>
      <c r="B811" s="9" t="n"/>
      <c r="C811" s="10" t="n"/>
      <c r="D811" s="16" t="n"/>
      <c r="E811" s="9" t="n"/>
      <c r="F811" s="9">
        <f>IF($B811="","",IFERROR(VLOOKUP($B811,Agents!$A:$C,3,FALSE),"؟"))</f>
        <v/>
      </c>
      <c r="G811" s="9">
        <f>IF($D811="","",YEAR($D811))</f>
        <v/>
      </c>
      <c r="H811" s="9">
        <f>IF($D811="","",ROUNDUP(MONTH($D811)/3,0))</f>
        <v/>
      </c>
    </row>
    <row r="812">
      <c r="A812" s="6" t="n"/>
      <c r="B812" s="6" t="n"/>
      <c r="C812" s="8" t="n"/>
      <c r="D812" s="14" t="n"/>
      <c r="E812" s="6" t="n"/>
      <c r="F812" s="6">
        <f>IF($B812="","",IFERROR(VLOOKUP($B812,Agents!$A:$C,3,FALSE),"؟"))</f>
        <v/>
      </c>
      <c r="G812" s="6">
        <f>IF($D812="","",YEAR($D812))</f>
        <v/>
      </c>
      <c r="H812" s="6">
        <f>IF($D812="","",ROUNDUP(MONTH($D812)/3,0))</f>
        <v/>
      </c>
    </row>
    <row r="813">
      <c r="A813" s="9" t="n"/>
      <c r="B813" s="9" t="n"/>
      <c r="C813" s="10" t="n"/>
      <c r="D813" s="16" t="n"/>
      <c r="E813" s="9" t="n"/>
      <c r="F813" s="9">
        <f>IF($B813="","",IFERROR(VLOOKUP($B813,Agents!$A:$C,3,FALSE),"؟"))</f>
        <v/>
      </c>
      <c r="G813" s="9">
        <f>IF($D813="","",YEAR($D813))</f>
        <v/>
      </c>
      <c r="H813" s="9">
        <f>IF($D813="","",ROUNDUP(MONTH($D813)/3,0))</f>
        <v/>
      </c>
    </row>
    <row r="814">
      <c r="A814" s="6" t="n"/>
      <c r="B814" s="6" t="n"/>
      <c r="C814" s="8" t="n"/>
      <c r="D814" s="14" t="n"/>
      <c r="E814" s="6" t="n"/>
      <c r="F814" s="6">
        <f>IF($B814="","",IFERROR(VLOOKUP($B814,Agents!$A:$C,3,FALSE),"؟"))</f>
        <v/>
      </c>
      <c r="G814" s="6">
        <f>IF($D814="","",YEAR($D814))</f>
        <v/>
      </c>
      <c r="H814" s="6">
        <f>IF($D814="","",ROUNDUP(MONTH($D814)/3,0))</f>
        <v/>
      </c>
    </row>
    <row r="815">
      <c r="A815" s="9" t="n"/>
      <c r="B815" s="9" t="n"/>
      <c r="C815" s="10" t="n"/>
      <c r="D815" s="16" t="n"/>
      <c r="E815" s="9" t="n"/>
      <c r="F815" s="9">
        <f>IF($B815="","",IFERROR(VLOOKUP($B815,Agents!$A:$C,3,FALSE),"؟"))</f>
        <v/>
      </c>
      <c r="G815" s="9">
        <f>IF($D815="","",YEAR($D815))</f>
        <v/>
      </c>
      <c r="H815" s="9">
        <f>IF($D815="","",ROUNDUP(MONTH($D815)/3,0))</f>
        <v/>
      </c>
    </row>
    <row r="816">
      <c r="A816" s="6" t="n"/>
      <c r="B816" s="6" t="n"/>
      <c r="C816" s="8" t="n"/>
      <c r="D816" s="14" t="n"/>
      <c r="E816" s="6" t="n"/>
      <c r="F816" s="6">
        <f>IF($B816="","",IFERROR(VLOOKUP($B816,Agents!$A:$C,3,FALSE),"؟"))</f>
        <v/>
      </c>
      <c r="G816" s="6">
        <f>IF($D816="","",YEAR($D816))</f>
        <v/>
      </c>
      <c r="H816" s="6">
        <f>IF($D816="","",ROUNDUP(MONTH($D816)/3,0))</f>
        <v/>
      </c>
    </row>
    <row r="817">
      <c r="A817" s="9" t="n"/>
      <c r="B817" s="9" t="n"/>
      <c r="C817" s="10" t="n"/>
      <c r="D817" s="16" t="n"/>
      <c r="E817" s="9" t="n"/>
      <c r="F817" s="9">
        <f>IF($B817="","",IFERROR(VLOOKUP($B817,Agents!$A:$C,3,FALSE),"؟"))</f>
        <v/>
      </c>
      <c r="G817" s="9">
        <f>IF($D817="","",YEAR($D817))</f>
        <v/>
      </c>
      <c r="H817" s="9">
        <f>IF($D817="","",ROUNDUP(MONTH($D817)/3,0))</f>
        <v/>
      </c>
    </row>
    <row r="818">
      <c r="A818" s="6" t="n"/>
      <c r="B818" s="6" t="n"/>
      <c r="C818" s="8" t="n"/>
      <c r="D818" s="14" t="n"/>
      <c r="E818" s="6" t="n"/>
      <c r="F818" s="6">
        <f>IF($B818="","",IFERROR(VLOOKUP($B818,Agents!$A:$C,3,FALSE),"؟"))</f>
        <v/>
      </c>
      <c r="G818" s="6">
        <f>IF($D818="","",YEAR($D818))</f>
        <v/>
      </c>
      <c r="H818" s="6">
        <f>IF($D818="","",ROUNDUP(MONTH($D818)/3,0))</f>
        <v/>
      </c>
    </row>
    <row r="819">
      <c r="A819" s="9" t="n"/>
      <c r="B819" s="9" t="n"/>
      <c r="C819" s="10" t="n"/>
      <c r="D819" s="16" t="n"/>
      <c r="E819" s="9" t="n"/>
      <c r="F819" s="9">
        <f>IF($B819="","",IFERROR(VLOOKUP($B819,Agents!$A:$C,3,FALSE),"؟"))</f>
        <v/>
      </c>
      <c r="G819" s="9">
        <f>IF($D819="","",YEAR($D819))</f>
        <v/>
      </c>
      <c r="H819" s="9">
        <f>IF($D819="","",ROUNDUP(MONTH($D819)/3,0))</f>
        <v/>
      </c>
    </row>
    <row r="820">
      <c r="A820" s="6" t="n"/>
      <c r="B820" s="6" t="n"/>
      <c r="C820" s="8" t="n"/>
      <c r="D820" s="14" t="n"/>
      <c r="E820" s="6" t="n"/>
      <c r="F820" s="6">
        <f>IF($B820="","",IFERROR(VLOOKUP($B820,Agents!$A:$C,3,FALSE),"؟"))</f>
        <v/>
      </c>
      <c r="G820" s="6">
        <f>IF($D820="","",YEAR($D820))</f>
        <v/>
      </c>
      <c r="H820" s="6">
        <f>IF($D820="","",ROUNDUP(MONTH($D820)/3,0))</f>
        <v/>
      </c>
    </row>
    <row r="821">
      <c r="A821" s="9" t="n"/>
      <c r="B821" s="9" t="n"/>
      <c r="C821" s="10" t="n"/>
      <c r="D821" s="16" t="n"/>
      <c r="E821" s="9" t="n"/>
      <c r="F821" s="9">
        <f>IF($B821="","",IFERROR(VLOOKUP($B821,Agents!$A:$C,3,FALSE),"؟"))</f>
        <v/>
      </c>
      <c r="G821" s="9">
        <f>IF($D821="","",YEAR($D821))</f>
        <v/>
      </c>
      <c r="H821" s="9">
        <f>IF($D821="","",ROUNDUP(MONTH($D821)/3,0))</f>
        <v/>
      </c>
    </row>
    <row r="822">
      <c r="A822" s="6" t="n"/>
      <c r="B822" s="6" t="n"/>
      <c r="C822" s="8" t="n"/>
      <c r="D822" s="14" t="n"/>
      <c r="E822" s="6" t="n"/>
      <c r="F822" s="6">
        <f>IF($B822="","",IFERROR(VLOOKUP($B822,Agents!$A:$C,3,FALSE),"؟"))</f>
        <v/>
      </c>
      <c r="G822" s="6">
        <f>IF($D822="","",YEAR($D822))</f>
        <v/>
      </c>
      <c r="H822" s="6">
        <f>IF($D822="","",ROUNDUP(MONTH($D822)/3,0))</f>
        <v/>
      </c>
    </row>
    <row r="823">
      <c r="A823" s="9" t="n"/>
      <c r="B823" s="9" t="n"/>
      <c r="C823" s="10" t="n"/>
      <c r="D823" s="16" t="n"/>
      <c r="E823" s="9" t="n"/>
      <c r="F823" s="9">
        <f>IF($B823="","",IFERROR(VLOOKUP($B823,Agents!$A:$C,3,FALSE),"؟"))</f>
        <v/>
      </c>
      <c r="G823" s="9">
        <f>IF($D823="","",YEAR($D823))</f>
        <v/>
      </c>
      <c r="H823" s="9">
        <f>IF($D823="","",ROUNDUP(MONTH($D823)/3,0))</f>
        <v/>
      </c>
    </row>
    <row r="824">
      <c r="A824" s="6" t="n"/>
      <c r="B824" s="6" t="n"/>
      <c r="C824" s="8" t="n"/>
      <c r="D824" s="14" t="n"/>
      <c r="E824" s="6" t="n"/>
      <c r="F824" s="6">
        <f>IF($B824="","",IFERROR(VLOOKUP($B824,Agents!$A:$C,3,FALSE),"؟"))</f>
        <v/>
      </c>
      <c r="G824" s="6">
        <f>IF($D824="","",YEAR($D824))</f>
        <v/>
      </c>
      <c r="H824" s="6">
        <f>IF($D824="","",ROUNDUP(MONTH($D824)/3,0))</f>
        <v/>
      </c>
    </row>
    <row r="825">
      <c r="A825" s="9" t="n"/>
      <c r="B825" s="9" t="n"/>
      <c r="C825" s="10" t="n"/>
      <c r="D825" s="16" t="n"/>
      <c r="E825" s="9" t="n"/>
      <c r="F825" s="9">
        <f>IF($B825="","",IFERROR(VLOOKUP($B825,Agents!$A:$C,3,FALSE),"؟"))</f>
        <v/>
      </c>
      <c r="G825" s="9">
        <f>IF($D825="","",YEAR($D825))</f>
        <v/>
      </c>
      <c r="H825" s="9">
        <f>IF($D825="","",ROUNDUP(MONTH($D825)/3,0))</f>
        <v/>
      </c>
    </row>
    <row r="826">
      <c r="A826" s="6" t="n"/>
      <c r="B826" s="6" t="n"/>
      <c r="C826" s="8" t="n"/>
      <c r="D826" s="14" t="n"/>
      <c r="E826" s="6" t="n"/>
      <c r="F826" s="6">
        <f>IF($B826="","",IFERROR(VLOOKUP($B826,Agents!$A:$C,3,FALSE),"؟"))</f>
        <v/>
      </c>
      <c r="G826" s="6">
        <f>IF($D826="","",YEAR($D826))</f>
        <v/>
      </c>
      <c r="H826" s="6">
        <f>IF($D826="","",ROUNDUP(MONTH($D826)/3,0))</f>
        <v/>
      </c>
    </row>
    <row r="827">
      <c r="A827" s="9" t="n"/>
      <c r="B827" s="9" t="n"/>
      <c r="C827" s="10" t="n"/>
      <c r="D827" s="16" t="n"/>
      <c r="E827" s="9" t="n"/>
      <c r="F827" s="9">
        <f>IF($B827="","",IFERROR(VLOOKUP($B827,Agents!$A:$C,3,FALSE),"؟"))</f>
        <v/>
      </c>
      <c r="G827" s="9">
        <f>IF($D827="","",YEAR($D827))</f>
        <v/>
      </c>
      <c r="H827" s="9">
        <f>IF($D827="","",ROUNDUP(MONTH($D827)/3,0))</f>
        <v/>
      </c>
    </row>
    <row r="828">
      <c r="A828" s="6" t="n"/>
      <c r="B828" s="6" t="n"/>
      <c r="C828" s="8" t="n"/>
      <c r="D828" s="14" t="n"/>
      <c r="E828" s="6" t="n"/>
      <c r="F828" s="6">
        <f>IF($B828="","",IFERROR(VLOOKUP($B828,Agents!$A:$C,3,FALSE),"؟"))</f>
        <v/>
      </c>
      <c r="G828" s="6">
        <f>IF($D828="","",YEAR($D828))</f>
        <v/>
      </c>
      <c r="H828" s="6">
        <f>IF($D828="","",ROUNDUP(MONTH($D828)/3,0))</f>
        <v/>
      </c>
    </row>
    <row r="829">
      <c r="A829" s="9" t="n"/>
      <c r="B829" s="9" t="n"/>
      <c r="C829" s="10" t="n"/>
      <c r="D829" s="16" t="n"/>
      <c r="E829" s="9" t="n"/>
      <c r="F829" s="9">
        <f>IF($B829="","",IFERROR(VLOOKUP($B829,Agents!$A:$C,3,FALSE),"؟"))</f>
        <v/>
      </c>
      <c r="G829" s="9">
        <f>IF($D829="","",YEAR($D829))</f>
        <v/>
      </c>
      <c r="H829" s="9">
        <f>IF($D829="","",ROUNDUP(MONTH($D829)/3,0))</f>
        <v/>
      </c>
    </row>
    <row r="830">
      <c r="A830" s="6" t="n"/>
      <c r="B830" s="6" t="n"/>
      <c r="C830" s="8" t="n"/>
      <c r="D830" s="14" t="n"/>
      <c r="E830" s="6" t="n"/>
      <c r="F830" s="6">
        <f>IF($B830="","",IFERROR(VLOOKUP($B830,Agents!$A:$C,3,FALSE),"؟"))</f>
        <v/>
      </c>
      <c r="G830" s="6">
        <f>IF($D830="","",YEAR($D830))</f>
        <v/>
      </c>
      <c r="H830" s="6">
        <f>IF($D830="","",ROUNDUP(MONTH($D830)/3,0))</f>
        <v/>
      </c>
    </row>
    <row r="831">
      <c r="A831" s="9" t="n"/>
      <c r="B831" s="9" t="n"/>
      <c r="C831" s="10" t="n"/>
      <c r="D831" s="16" t="n"/>
      <c r="E831" s="9" t="n"/>
      <c r="F831" s="9">
        <f>IF($B831="","",IFERROR(VLOOKUP($B831,Agents!$A:$C,3,FALSE),"؟"))</f>
        <v/>
      </c>
      <c r="G831" s="9">
        <f>IF($D831="","",YEAR($D831))</f>
        <v/>
      </c>
      <c r="H831" s="9">
        <f>IF($D831="","",ROUNDUP(MONTH($D831)/3,0))</f>
        <v/>
      </c>
    </row>
    <row r="832">
      <c r="A832" s="6" t="n"/>
      <c r="B832" s="6" t="n"/>
      <c r="C832" s="8" t="n"/>
      <c r="D832" s="14" t="n"/>
      <c r="E832" s="6" t="n"/>
      <c r="F832" s="6">
        <f>IF($B832="","",IFERROR(VLOOKUP($B832,Agents!$A:$C,3,FALSE),"؟"))</f>
        <v/>
      </c>
      <c r="G832" s="6">
        <f>IF($D832="","",YEAR($D832))</f>
        <v/>
      </c>
      <c r="H832" s="6">
        <f>IF($D832="","",ROUNDUP(MONTH($D832)/3,0))</f>
        <v/>
      </c>
    </row>
    <row r="833">
      <c r="A833" s="9" t="n"/>
      <c r="B833" s="9" t="n"/>
      <c r="C833" s="10" t="n"/>
      <c r="D833" s="16" t="n"/>
      <c r="E833" s="9" t="n"/>
      <c r="F833" s="9">
        <f>IF($B833="","",IFERROR(VLOOKUP($B833,Agents!$A:$C,3,FALSE),"؟"))</f>
        <v/>
      </c>
      <c r="G833" s="9">
        <f>IF($D833="","",YEAR($D833))</f>
        <v/>
      </c>
      <c r="H833" s="9">
        <f>IF($D833="","",ROUNDUP(MONTH($D833)/3,0))</f>
        <v/>
      </c>
    </row>
    <row r="834">
      <c r="A834" s="6" t="n"/>
      <c r="B834" s="6" t="n"/>
      <c r="C834" s="8" t="n"/>
      <c r="D834" s="14" t="n"/>
      <c r="E834" s="6" t="n"/>
      <c r="F834" s="6">
        <f>IF($B834="","",IFERROR(VLOOKUP($B834,Agents!$A:$C,3,FALSE),"؟"))</f>
        <v/>
      </c>
      <c r="G834" s="6">
        <f>IF($D834="","",YEAR($D834))</f>
        <v/>
      </c>
      <c r="H834" s="6">
        <f>IF($D834="","",ROUNDUP(MONTH($D834)/3,0))</f>
        <v/>
      </c>
    </row>
    <row r="835">
      <c r="A835" s="9" t="n"/>
      <c r="B835" s="9" t="n"/>
      <c r="C835" s="10" t="n"/>
      <c r="D835" s="16" t="n"/>
      <c r="E835" s="9" t="n"/>
      <c r="F835" s="9">
        <f>IF($B835="","",IFERROR(VLOOKUP($B835,Agents!$A:$C,3,FALSE),"؟"))</f>
        <v/>
      </c>
      <c r="G835" s="9">
        <f>IF($D835="","",YEAR($D835))</f>
        <v/>
      </c>
      <c r="H835" s="9">
        <f>IF($D835="","",ROUNDUP(MONTH($D835)/3,0))</f>
        <v/>
      </c>
    </row>
    <row r="836">
      <c r="A836" s="6" t="n"/>
      <c r="B836" s="6" t="n"/>
      <c r="C836" s="8" t="n"/>
      <c r="D836" s="14" t="n"/>
      <c r="E836" s="6" t="n"/>
      <c r="F836" s="6">
        <f>IF($B836="","",IFERROR(VLOOKUP($B836,Agents!$A:$C,3,FALSE),"؟"))</f>
        <v/>
      </c>
      <c r="G836" s="6">
        <f>IF($D836="","",YEAR($D836))</f>
        <v/>
      </c>
      <c r="H836" s="6">
        <f>IF($D836="","",ROUNDUP(MONTH($D836)/3,0))</f>
        <v/>
      </c>
    </row>
    <row r="837">
      <c r="A837" s="9" t="n"/>
      <c r="B837" s="9" t="n"/>
      <c r="C837" s="10" t="n"/>
      <c r="D837" s="16" t="n"/>
      <c r="E837" s="9" t="n"/>
      <c r="F837" s="9">
        <f>IF($B837="","",IFERROR(VLOOKUP($B837,Agents!$A:$C,3,FALSE),"؟"))</f>
        <v/>
      </c>
      <c r="G837" s="9">
        <f>IF($D837="","",YEAR($D837))</f>
        <v/>
      </c>
      <c r="H837" s="9">
        <f>IF($D837="","",ROUNDUP(MONTH($D837)/3,0))</f>
        <v/>
      </c>
    </row>
    <row r="838">
      <c r="A838" s="6" t="n"/>
      <c r="B838" s="6" t="n"/>
      <c r="C838" s="8" t="n"/>
      <c r="D838" s="14" t="n"/>
      <c r="E838" s="6" t="n"/>
      <c r="F838" s="6">
        <f>IF($B838="","",IFERROR(VLOOKUP($B838,Agents!$A:$C,3,FALSE),"؟"))</f>
        <v/>
      </c>
      <c r="G838" s="6">
        <f>IF($D838="","",YEAR($D838))</f>
        <v/>
      </c>
      <c r="H838" s="6">
        <f>IF($D838="","",ROUNDUP(MONTH($D838)/3,0))</f>
        <v/>
      </c>
    </row>
    <row r="839">
      <c r="A839" s="9" t="n"/>
      <c r="B839" s="9" t="n"/>
      <c r="C839" s="10" t="n"/>
      <c r="D839" s="16" t="n"/>
      <c r="E839" s="9" t="n"/>
      <c r="F839" s="9">
        <f>IF($B839="","",IFERROR(VLOOKUP($B839,Agents!$A:$C,3,FALSE),"؟"))</f>
        <v/>
      </c>
      <c r="G839" s="9">
        <f>IF($D839="","",YEAR($D839))</f>
        <v/>
      </c>
      <c r="H839" s="9">
        <f>IF($D839="","",ROUNDUP(MONTH($D839)/3,0))</f>
        <v/>
      </c>
    </row>
    <row r="840">
      <c r="A840" s="6" t="n"/>
      <c r="B840" s="6" t="n"/>
      <c r="C840" s="8" t="n"/>
      <c r="D840" s="14" t="n"/>
      <c r="E840" s="6" t="n"/>
      <c r="F840" s="6">
        <f>IF($B840="","",IFERROR(VLOOKUP($B840,Agents!$A:$C,3,FALSE),"؟"))</f>
        <v/>
      </c>
      <c r="G840" s="6">
        <f>IF($D840="","",YEAR($D840))</f>
        <v/>
      </c>
      <c r="H840" s="6">
        <f>IF($D840="","",ROUNDUP(MONTH($D840)/3,0))</f>
        <v/>
      </c>
    </row>
    <row r="841">
      <c r="A841" s="9" t="n"/>
      <c r="B841" s="9" t="n"/>
      <c r="C841" s="10" t="n"/>
      <c r="D841" s="16" t="n"/>
      <c r="E841" s="9" t="n"/>
      <c r="F841" s="9">
        <f>IF($B841="","",IFERROR(VLOOKUP($B841,Agents!$A:$C,3,FALSE),"؟"))</f>
        <v/>
      </c>
      <c r="G841" s="9">
        <f>IF($D841="","",YEAR($D841))</f>
        <v/>
      </c>
      <c r="H841" s="9">
        <f>IF($D841="","",ROUNDUP(MONTH($D841)/3,0))</f>
        <v/>
      </c>
    </row>
    <row r="842">
      <c r="A842" s="6" t="n"/>
      <c r="B842" s="6" t="n"/>
      <c r="C842" s="8" t="n"/>
      <c r="D842" s="14" t="n"/>
      <c r="E842" s="6" t="n"/>
      <c r="F842" s="6">
        <f>IF($B842="","",IFERROR(VLOOKUP($B842,Agents!$A:$C,3,FALSE),"؟"))</f>
        <v/>
      </c>
      <c r="G842" s="6">
        <f>IF($D842="","",YEAR($D842))</f>
        <v/>
      </c>
      <c r="H842" s="6">
        <f>IF($D842="","",ROUNDUP(MONTH($D842)/3,0))</f>
        <v/>
      </c>
    </row>
    <row r="843">
      <c r="A843" s="9" t="n"/>
      <c r="B843" s="9" t="n"/>
      <c r="C843" s="10" t="n"/>
      <c r="D843" s="16" t="n"/>
      <c r="E843" s="9" t="n"/>
      <c r="F843" s="9">
        <f>IF($B843="","",IFERROR(VLOOKUP($B843,Agents!$A:$C,3,FALSE),"؟"))</f>
        <v/>
      </c>
      <c r="G843" s="9">
        <f>IF($D843="","",YEAR($D843))</f>
        <v/>
      </c>
      <c r="H843" s="9">
        <f>IF($D843="","",ROUNDUP(MONTH($D843)/3,0))</f>
        <v/>
      </c>
    </row>
    <row r="844">
      <c r="A844" s="6" t="n"/>
      <c r="B844" s="6" t="n"/>
      <c r="C844" s="8" t="n"/>
      <c r="D844" s="14" t="n"/>
      <c r="E844" s="6" t="n"/>
      <c r="F844" s="6">
        <f>IF($B844="","",IFERROR(VLOOKUP($B844,Agents!$A:$C,3,FALSE),"؟"))</f>
        <v/>
      </c>
      <c r="G844" s="6">
        <f>IF($D844="","",YEAR($D844))</f>
        <v/>
      </c>
      <c r="H844" s="6">
        <f>IF($D844="","",ROUNDUP(MONTH($D844)/3,0))</f>
        <v/>
      </c>
    </row>
    <row r="845">
      <c r="A845" s="9" t="n"/>
      <c r="B845" s="9" t="n"/>
      <c r="C845" s="10" t="n"/>
      <c r="D845" s="16" t="n"/>
      <c r="E845" s="9" t="n"/>
      <c r="F845" s="9">
        <f>IF($B845="","",IFERROR(VLOOKUP($B845,Agents!$A:$C,3,FALSE),"؟"))</f>
        <v/>
      </c>
      <c r="G845" s="9">
        <f>IF($D845="","",YEAR($D845))</f>
        <v/>
      </c>
      <c r="H845" s="9">
        <f>IF($D845="","",ROUNDUP(MONTH($D845)/3,0))</f>
        <v/>
      </c>
    </row>
    <row r="846">
      <c r="A846" s="6" t="n"/>
      <c r="B846" s="6" t="n"/>
      <c r="C846" s="8" t="n"/>
      <c r="D846" s="14" t="n"/>
      <c r="E846" s="6" t="n"/>
      <c r="F846" s="6">
        <f>IF($B846="","",IFERROR(VLOOKUP($B846,Agents!$A:$C,3,FALSE),"؟"))</f>
        <v/>
      </c>
      <c r="G846" s="6">
        <f>IF($D846="","",YEAR($D846))</f>
        <v/>
      </c>
      <c r="H846" s="6">
        <f>IF($D846="","",ROUNDUP(MONTH($D846)/3,0))</f>
        <v/>
      </c>
    </row>
    <row r="847">
      <c r="A847" s="9" t="n"/>
      <c r="B847" s="9" t="n"/>
      <c r="C847" s="10" t="n"/>
      <c r="D847" s="16" t="n"/>
      <c r="E847" s="9" t="n"/>
      <c r="F847" s="9">
        <f>IF($B847="","",IFERROR(VLOOKUP($B847,Agents!$A:$C,3,FALSE),"؟"))</f>
        <v/>
      </c>
      <c r="G847" s="9">
        <f>IF($D847="","",YEAR($D847))</f>
        <v/>
      </c>
      <c r="H847" s="9">
        <f>IF($D847="","",ROUNDUP(MONTH($D847)/3,0))</f>
        <v/>
      </c>
    </row>
    <row r="848">
      <c r="A848" s="6" t="n"/>
      <c r="B848" s="6" t="n"/>
      <c r="C848" s="8" t="n"/>
      <c r="D848" s="14" t="n"/>
      <c r="E848" s="6" t="n"/>
      <c r="F848" s="6">
        <f>IF($B848="","",IFERROR(VLOOKUP($B848,Agents!$A:$C,3,FALSE),"؟"))</f>
        <v/>
      </c>
      <c r="G848" s="6">
        <f>IF($D848="","",YEAR($D848))</f>
        <v/>
      </c>
      <c r="H848" s="6">
        <f>IF($D848="","",ROUNDUP(MONTH($D848)/3,0))</f>
        <v/>
      </c>
    </row>
    <row r="849">
      <c r="A849" s="9" t="n"/>
      <c r="B849" s="9" t="n"/>
      <c r="C849" s="10" t="n"/>
      <c r="D849" s="16" t="n"/>
      <c r="E849" s="9" t="n"/>
      <c r="F849" s="9">
        <f>IF($B849="","",IFERROR(VLOOKUP($B849,Agents!$A:$C,3,FALSE),"؟"))</f>
        <v/>
      </c>
      <c r="G849" s="9">
        <f>IF($D849="","",YEAR($D849))</f>
        <v/>
      </c>
      <c r="H849" s="9">
        <f>IF($D849="","",ROUNDUP(MONTH($D849)/3,0))</f>
        <v/>
      </c>
    </row>
    <row r="850">
      <c r="A850" s="6" t="n"/>
      <c r="B850" s="6" t="n"/>
      <c r="C850" s="8" t="n"/>
      <c r="D850" s="14" t="n"/>
      <c r="E850" s="6" t="n"/>
      <c r="F850" s="6">
        <f>IF($B850="","",IFERROR(VLOOKUP($B850,Agents!$A:$C,3,FALSE),"؟"))</f>
        <v/>
      </c>
      <c r="G850" s="6">
        <f>IF($D850="","",YEAR($D850))</f>
        <v/>
      </c>
      <c r="H850" s="6">
        <f>IF($D850="","",ROUNDUP(MONTH($D850)/3,0))</f>
        <v/>
      </c>
    </row>
    <row r="851">
      <c r="A851" s="9" t="n"/>
      <c r="B851" s="9" t="n"/>
      <c r="C851" s="10" t="n"/>
      <c r="D851" s="16" t="n"/>
      <c r="E851" s="9" t="n"/>
      <c r="F851" s="9">
        <f>IF($B851="","",IFERROR(VLOOKUP($B851,Agents!$A:$C,3,FALSE),"؟"))</f>
        <v/>
      </c>
      <c r="G851" s="9">
        <f>IF($D851="","",YEAR($D851))</f>
        <v/>
      </c>
      <c r="H851" s="9">
        <f>IF($D851="","",ROUNDUP(MONTH($D851)/3,0))</f>
        <v/>
      </c>
    </row>
    <row r="852">
      <c r="A852" s="6" t="n"/>
      <c r="B852" s="6" t="n"/>
      <c r="C852" s="8" t="n"/>
      <c r="D852" s="14" t="n"/>
      <c r="E852" s="6" t="n"/>
      <c r="F852" s="6">
        <f>IF($B852="","",IFERROR(VLOOKUP($B852,Agents!$A:$C,3,FALSE),"؟"))</f>
        <v/>
      </c>
      <c r="G852" s="6">
        <f>IF($D852="","",YEAR($D852))</f>
        <v/>
      </c>
      <c r="H852" s="6">
        <f>IF($D852="","",ROUNDUP(MONTH($D852)/3,0))</f>
        <v/>
      </c>
    </row>
    <row r="853">
      <c r="A853" s="9" t="n"/>
      <c r="B853" s="9" t="n"/>
      <c r="C853" s="10" t="n"/>
      <c r="D853" s="16" t="n"/>
      <c r="E853" s="9" t="n"/>
      <c r="F853" s="9">
        <f>IF($B853="","",IFERROR(VLOOKUP($B853,Agents!$A:$C,3,FALSE),"؟"))</f>
        <v/>
      </c>
      <c r="G853" s="9">
        <f>IF($D853="","",YEAR($D853))</f>
        <v/>
      </c>
      <c r="H853" s="9">
        <f>IF($D853="","",ROUNDUP(MONTH($D853)/3,0))</f>
        <v/>
      </c>
    </row>
    <row r="854">
      <c r="A854" s="6" t="n"/>
      <c r="B854" s="6" t="n"/>
      <c r="C854" s="8" t="n"/>
      <c r="D854" s="14" t="n"/>
      <c r="E854" s="6" t="n"/>
      <c r="F854" s="6">
        <f>IF($B854="","",IFERROR(VLOOKUP($B854,Agents!$A:$C,3,FALSE),"؟"))</f>
        <v/>
      </c>
      <c r="G854" s="6">
        <f>IF($D854="","",YEAR($D854))</f>
        <v/>
      </c>
      <c r="H854" s="6">
        <f>IF($D854="","",ROUNDUP(MONTH($D854)/3,0))</f>
        <v/>
      </c>
    </row>
    <row r="855">
      <c r="A855" s="9" t="n"/>
      <c r="B855" s="9" t="n"/>
      <c r="C855" s="10" t="n"/>
      <c r="D855" s="16" t="n"/>
      <c r="E855" s="9" t="n"/>
      <c r="F855" s="9">
        <f>IF($B855="","",IFERROR(VLOOKUP($B855,Agents!$A:$C,3,FALSE),"؟"))</f>
        <v/>
      </c>
      <c r="G855" s="9">
        <f>IF($D855="","",YEAR($D855))</f>
        <v/>
      </c>
      <c r="H855" s="9">
        <f>IF($D855="","",ROUNDUP(MONTH($D855)/3,0))</f>
        <v/>
      </c>
    </row>
    <row r="856">
      <c r="A856" s="6" t="n"/>
      <c r="B856" s="6" t="n"/>
      <c r="C856" s="8" t="n"/>
      <c r="D856" s="14" t="n"/>
      <c r="E856" s="6" t="n"/>
      <c r="F856" s="6">
        <f>IF($B856="","",IFERROR(VLOOKUP($B856,Agents!$A:$C,3,FALSE),"؟"))</f>
        <v/>
      </c>
      <c r="G856" s="6">
        <f>IF($D856="","",YEAR($D856))</f>
        <v/>
      </c>
      <c r="H856" s="6">
        <f>IF($D856="","",ROUNDUP(MONTH($D856)/3,0))</f>
        <v/>
      </c>
    </row>
    <row r="857">
      <c r="A857" s="9" t="n"/>
      <c r="B857" s="9" t="n"/>
      <c r="C857" s="10" t="n"/>
      <c r="D857" s="16" t="n"/>
      <c r="E857" s="9" t="n"/>
      <c r="F857" s="9">
        <f>IF($B857="","",IFERROR(VLOOKUP($B857,Agents!$A:$C,3,FALSE),"؟"))</f>
        <v/>
      </c>
      <c r="G857" s="9">
        <f>IF($D857="","",YEAR($D857))</f>
        <v/>
      </c>
      <c r="H857" s="9">
        <f>IF($D857="","",ROUNDUP(MONTH($D857)/3,0))</f>
        <v/>
      </c>
    </row>
    <row r="858">
      <c r="A858" s="6" t="n"/>
      <c r="B858" s="6" t="n"/>
      <c r="C858" s="8" t="n"/>
      <c r="D858" s="14" t="n"/>
      <c r="E858" s="6" t="n"/>
      <c r="F858" s="6">
        <f>IF($B858="","",IFERROR(VLOOKUP($B858,Agents!$A:$C,3,FALSE),"؟"))</f>
        <v/>
      </c>
      <c r="G858" s="6">
        <f>IF($D858="","",YEAR($D858))</f>
        <v/>
      </c>
      <c r="H858" s="6">
        <f>IF($D858="","",ROUNDUP(MONTH($D858)/3,0))</f>
        <v/>
      </c>
    </row>
    <row r="859">
      <c r="A859" s="9" t="n"/>
      <c r="B859" s="9" t="n"/>
      <c r="C859" s="10" t="n"/>
      <c r="D859" s="16" t="n"/>
      <c r="E859" s="9" t="n"/>
      <c r="F859" s="9">
        <f>IF($B859="","",IFERROR(VLOOKUP($B859,Agents!$A:$C,3,FALSE),"؟"))</f>
        <v/>
      </c>
      <c r="G859" s="9">
        <f>IF($D859="","",YEAR($D859))</f>
        <v/>
      </c>
      <c r="H859" s="9">
        <f>IF($D859="","",ROUNDUP(MONTH($D859)/3,0))</f>
        <v/>
      </c>
    </row>
    <row r="860">
      <c r="A860" s="6" t="n"/>
      <c r="B860" s="6" t="n"/>
      <c r="C860" s="8" t="n"/>
      <c r="D860" s="14" t="n"/>
      <c r="E860" s="6" t="n"/>
      <c r="F860" s="6">
        <f>IF($B860="","",IFERROR(VLOOKUP($B860,Agents!$A:$C,3,FALSE),"؟"))</f>
        <v/>
      </c>
      <c r="G860" s="6">
        <f>IF($D860="","",YEAR($D860))</f>
        <v/>
      </c>
      <c r="H860" s="6">
        <f>IF($D860="","",ROUNDUP(MONTH($D860)/3,0))</f>
        <v/>
      </c>
    </row>
    <row r="861">
      <c r="A861" s="9" t="n"/>
      <c r="B861" s="9" t="n"/>
      <c r="C861" s="10" t="n"/>
      <c r="D861" s="16" t="n"/>
      <c r="E861" s="9" t="n"/>
      <c r="F861" s="9">
        <f>IF($B861="","",IFERROR(VLOOKUP($B861,Agents!$A:$C,3,FALSE),"؟"))</f>
        <v/>
      </c>
      <c r="G861" s="9">
        <f>IF($D861="","",YEAR($D861))</f>
        <v/>
      </c>
      <c r="H861" s="9">
        <f>IF($D861="","",ROUNDUP(MONTH($D861)/3,0))</f>
        <v/>
      </c>
    </row>
    <row r="862">
      <c r="A862" s="6" t="n"/>
      <c r="B862" s="6" t="n"/>
      <c r="C862" s="8" t="n"/>
      <c r="D862" s="14" t="n"/>
      <c r="E862" s="6" t="n"/>
      <c r="F862" s="6">
        <f>IF($B862="","",IFERROR(VLOOKUP($B862,Agents!$A:$C,3,FALSE),"؟"))</f>
        <v/>
      </c>
      <c r="G862" s="6">
        <f>IF($D862="","",YEAR($D862))</f>
        <v/>
      </c>
      <c r="H862" s="6">
        <f>IF($D862="","",ROUNDUP(MONTH($D862)/3,0))</f>
        <v/>
      </c>
    </row>
    <row r="863">
      <c r="A863" s="9" t="n"/>
      <c r="B863" s="9" t="n"/>
      <c r="C863" s="10" t="n"/>
      <c r="D863" s="16" t="n"/>
      <c r="E863" s="9" t="n"/>
      <c r="F863" s="9">
        <f>IF($B863="","",IFERROR(VLOOKUP($B863,Agents!$A:$C,3,FALSE),"؟"))</f>
        <v/>
      </c>
      <c r="G863" s="9">
        <f>IF($D863="","",YEAR($D863))</f>
        <v/>
      </c>
      <c r="H863" s="9">
        <f>IF($D863="","",ROUNDUP(MONTH($D863)/3,0))</f>
        <v/>
      </c>
    </row>
    <row r="864">
      <c r="A864" s="6" t="n"/>
      <c r="B864" s="6" t="n"/>
      <c r="C864" s="8" t="n"/>
      <c r="D864" s="14" t="n"/>
      <c r="E864" s="6" t="n"/>
      <c r="F864" s="6">
        <f>IF($B864="","",IFERROR(VLOOKUP($B864,Agents!$A:$C,3,FALSE),"؟"))</f>
        <v/>
      </c>
      <c r="G864" s="6">
        <f>IF($D864="","",YEAR($D864))</f>
        <v/>
      </c>
      <c r="H864" s="6">
        <f>IF($D864="","",ROUNDUP(MONTH($D864)/3,0))</f>
        <v/>
      </c>
    </row>
    <row r="865">
      <c r="A865" s="9" t="n"/>
      <c r="B865" s="9" t="n"/>
      <c r="C865" s="10" t="n"/>
      <c r="D865" s="16" t="n"/>
      <c r="E865" s="9" t="n"/>
      <c r="F865" s="9">
        <f>IF($B865="","",IFERROR(VLOOKUP($B865,Agents!$A:$C,3,FALSE),"؟"))</f>
        <v/>
      </c>
      <c r="G865" s="9">
        <f>IF($D865="","",YEAR($D865))</f>
        <v/>
      </c>
      <c r="H865" s="9">
        <f>IF($D865="","",ROUNDUP(MONTH($D865)/3,0))</f>
        <v/>
      </c>
    </row>
    <row r="866">
      <c r="A866" s="6" t="n"/>
      <c r="B866" s="6" t="n"/>
      <c r="C866" s="8" t="n"/>
      <c r="D866" s="14" t="n"/>
      <c r="E866" s="6" t="n"/>
      <c r="F866" s="6">
        <f>IF($B866="","",IFERROR(VLOOKUP($B866,Agents!$A:$C,3,FALSE),"؟"))</f>
        <v/>
      </c>
      <c r="G866" s="6">
        <f>IF($D866="","",YEAR($D866))</f>
        <v/>
      </c>
      <c r="H866" s="6">
        <f>IF($D866="","",ROUNDUP(MONTH($D866)/3,0))</f>
        <v/>
      </c>
    </row>
    <row r="867">
      <c r="A867" s="9" t="n"/>
      <c r="B867" s="9" t="n"/>
      <c r="C867" s="10" t="n"/>
      <c r="D867" s="16" t="n"/>
      <c r="E867" s="9" t="n"/>
      <c r="F867" s="9">
        <f>IF($B867="","",IFERROR(VLOOKUP($B867,Agents!$A:$C,3,FALSE),"؟"))</f>
        <v/>
      </c>
      <c r="G867" s="9">
        <f>IF($D867="","",YEAR($D867))</f>
        <v/>
      </c>
      <c r="H867" s="9">
        <f>IF($D867="","",ROUNDUP(MONTH($D867)/3,0))</f>
        <v/>
      </c>
    </row>
    <row r="868">
      <c r="A868" s="6" t="n"/>
      <c r="B868" s="6" t="n"/>
      <c r="C868" s="8" t="n"/>
      <c r="D868" s="14" t="n"/>
      <c r="E868" s="6" t="n"/>
      <c r="F868" s="6">
        <f>IF($B868="","",IFERROR(VLOOKUP($B868,Agents!$A:$C,3,FALSE),"؟"))</f>
        <v/>
      </c>
      <c r="G868" s="6">
        <f>IF($D868="","",YEAR($D868))</f>
        <v/>
      </c>
      <c r="H868" s="6">
        <f>IF($D868="","",ROUNDUP(MONTH($D868)/3,0))</f>
        <v/>
      </c>
    </row>
    <row r="869">
      <c r="A869" s="9" t="n"/>
      <c r="B869" s="9" t="n"/>
      <c r="C869" s="10" t="n"/>
      <c r="D869" s="16" t="n"/>
      <c r="E869" s="9" t="n"/>
      <c r="F869" s="9">
        <f>IF($B869="","",IFERROR(VLOOKUP($B869,Agents!$A:$C,3,FALSE),"؟"))</f>
        <v/>
      </c>
      <c r="G869" s="9">
        <f>IF($D869="","",YEAR($D869))</f>
        <v/>
      </c>
      <c r="H869" s="9">
        <f>IF($D869="","",ROUNDUP(MONTH($D869)/3,0))</f>
        <v/>
      </c>
    </row>
    <row r="870">
      <c r="A870" s="6" t="n"/>
      <c r="B870" s="6" t="n"/>
      <c r="C870" s="8" t="n"/>
      <c r="D870" s="14" t="n"/>
      <c r="E870" s="6" t="n"/>
      <c r="F870" s="6">
        <f>IF($B870="","",IFERROR(VLOOKUP($B870,Agents!$A:$C,3,FALSE),"؟"))</f>
        <v/>
      </c>
      <c r="G870" s="6">
        <f>IF($D870="","",YEAR($D870))</f>
        <v/>
      </c>
      <c r="H870" s="6">
        <f>IF($D870="","",ROUNDUP(MONTH($D870)/3,0))</f>
        <v/>
      </c>
    </row>
    <row r="871">
      <c r="A871" s="9" t="n"/>
      <c r="B871" s="9" t="n"/>
      <c r="C871" s="10" t="n"/>
      <c r="D871" s="16" t="n"/>
      <c r="E871" s="9" t="n"/>
      <c r="F871" s="9">
        <f>IF($B871="","",IFERROR(VLOOKUP($B871,Agents!$A:$C,3,FALSE),"؟"))</f>
        <v/>
      </c>
      <c r="G871" s="9">
        <f>IF($D871="","",YEAR($D871))</f>
        <v/>
      </c>
      <c r="H871" s="9">
        <f>IF($D871="","",ROUNDUP(MONTH($D871)/3,0))</f>
        <v/>
      </c>
    </row>
    <row r="872">
      <c r="A872" s="6" t="n"/>
      <c r="B872" s="6" t="n"/>
      <c r="C872" s="8" t="n"/>
      <c r="D872" s="14" t="n"/>
      <c r="E872" s="6" t="n"/>
      <c r="F872" s="6">
        <f>IF($B872="","",IFERROR(VLOOKUP($B872,Agents!$A:$C,3,FALSE),"؟"))</f>
        <v/>
      </c>
      <c r="G872" s="6">
        <f>IF($D872="","",YEAR($D872))</f>
        <v/>
      </c>
      <c r="H872" s="6">
        <f>IF($D872="","",ROUNDUP(MONTH($D872)/3,0))</f>
        <v/>
      </c>
    </row>
    <row r="873">
      <c r="A873" s="9" t="n"/>
      <c r="B873" s="9" t="n"/>
      <c r="C873" s="10" t="n"/>
      <c r="D873" s="16" t="n"/>
      <c r="E873" s="9" t="n"/>
      <c r="F873" s="9">
        <f>IF($B873="","",IFERROR(VLOOKUP($B873,Agents!$A:$C,3,FALSE),"؟"))</f>
        <v/>
      </c>
      <c r="G873" s="9">
        <f>IF($D873="","",YEAR($D873))</f>
        <v/>
      </c>
      <c r="H873" s="9">
        <f>IF($D873="","",ROUNDUP(MONTH($D873)/3,0))</f>
        <v/>
      </c>
    </row>
    <row r="874">
      <c r="A874" s="6" t="n"/>
      <c r="B874" s="6" t="n"/>
      <c r="C874" s="8" t="n"/>
      <c r="D874" s="14" t="n"/>
      <c r="E874" s="6" t="n"/>
      <c r="F874" s="6">
        <f>IF($B874="","",IFERROR(VLOOKUP($B874,Agents!$A:$C,3,FALSE),"؟"))</f>
        <v/>
      </c>
      <c r="G874" s="6">
        <f>IF($D874="","",YEAR($D874))</f>
        <v/>
      </c>
      <c r="H874" s="6">
        <f>IF($D874="","",ROUNDUP(MONTH($D874)/3,0))</f>
        <v/>
      </c>
    </row>
    <row r="875">
      <c r="A875" s="9" t="n"/>
      <c r="B875" s="9" t="n"/>
      <c r="C875" s="10" t="n"/>
      <c r="D875" s="16" t="n"/>
      <c r="E875" s="9" t="n"/>
      <c r="F875" s="9">
        <f>IF($B875="","",IFERROR(VLOOKUP($B875,Agents!$A:$C,3,FALSE),"؟"))</f>
        <v/>
      </c>
      <c r="G875" s="9">
        <f>IF($D875="","",YEAR($D875))</f>
        <v/>
      </c>
      <c r="H875" s="9">
        <f>IF($D875="","",ROUNDUP(MONTH($D875)/3,0))</f>
        <v/>
      </c>
    </row>
    <row r="876">
      <c r="A876" s="6" t="n"/>
      <c r="B876" s="6" t="n"/>
      <c r="C876" s="8" t="n"/>
      <c r="D876" s="14" t="n"/>
      <c r="E876" s="6" t="n"/>
      <c r="F876" s="6">
        <f>IF($B876="","",IFERROR(VLOOKUP($B876,Agents!$A:$C,3,FALSE),"؟"))</f>
        <v/>
      </c>
      <c r="G876" s="6">
        <f>IF($D876="","",YEAR($D876))</f>
        <v/>
      </c>
      <c r="H876" s="6">
        <f>IF($D876="","",ROUNDUP(MONTH($D876)/3,0))</f>
        <v/>
      </c>
    </row>
    <row r="877">
      <c r="A877" s="9" t="n"/>
      <c r="B877" s="9" t="n"/>
      <c r="C877" s="10" t="n"/>
      <c r="D877" s="16" t="n"/>
      <c r="E877" s="9" t="n"/>
      <c r="F877" s="9">
        <f>IF($B877="","",IFERROR(VLOOKUP($B877,Agents!$A:$C,3,FALSE),"؟"))</f>
        <v/>
      </c>
      <c r="G877" s="9">
        <f>IF($D877="","",YEAR($D877))</f>
        <v/>
      </c>
      <c r="H877" s="9">
        <f>IF($D877="","",ROUNDUP(MONTH($D877)/3,0))</f>
        <v/>
      </c>
    </row>
    <row r="878">
      <c r="A878" s="6" t="n"/>
      <c r="B878" s="6" t="n"/>
      <c r="C878" s="8" t="n"/>
      <c r="D878" s="14" t="n"/>
      <c r="E878" s="6" t="n"/>
      <c r="F878" s="6">
        <f>IF($B878="","",IFERROR(VLOOKUP($B878,Agents!$A:$C,3,FALSE),"؟"))</f>
        <v/>
      </c>
      <c r="G878" s="6">
        <f>IF($D878="","",YEAR($D878))</f>
        <v/>
      </c>
      <c r="H878" s="6">
        <f>IF($D878="","",ROUNDUP(MONTH($D878)/3,0))</f>
        <v/>
      </c>
    </row>
    <row r="879">
      <c r="A879" s="9" t="n"/>
      <c r="B879" s="9" t="n"/>
      <c r="C879" s="10" t="n"/>
      <c r="D879" s="16" t="n"/>
      <c r="E879" s="9" t="n"/>
      <c r="F879" s="9">
        <f>IF($B879="","",IFERROR(VLOOKUP($B879,Agents!$A:$C,3,FALSE),"؟"))</f>
        <v/>
      </c>
      <c r="G879" s="9">
        <f>IF($D879="","",YEAR($D879))</f>
        <v/>
      </c>
      <c r="H879" s="9">
        <f>IF($D879="","",ROUNDUP(MONTH($D879)/3,0))</f>
        <v/>
      </c>
    </row>
    <row r="880">
      <c r="A880" s="6" t="n"/>
      <c r="B880" s="6" t="n"/>
      <c r="C880" s="8" t="n"/>
      <c r="D880" s="14" t="n"/>
      <c r="E880" s="6" t="n"/>
      <c r="F880" s="6">
        <f>IF($B880="","",IFERROR(VLOOKUP($B880,Agents!$A:$C,3,FALSE),"؟"))</f>
        <v/>
      </c>
      <c r="G880" s="6">
        <f>IF($D880="","",YEAR($D880))</f>
        <v/>
      </c>
      <c r="H880" s="6">
        <f>IF($D880="","",ROUNDUP(MONTH($D880)/3,0))</f>
        <v/>
      </c>
    </row>
    <row r="881">
      <c r="A881" s="9" t="n"/>
      <c r="B881" s="9" t="n"/>
      <c r="C881" s="10" t="n"/>
      <c r="D881" s="16" t="n"/>
      <c r="E881" s="9" t="n"/>
      <c r="F881" s="9">
        <f>IF($B881="","",IFERROR(VLOOKUP($B881,Agents!$A:$C,3,FALSE),"؟"))</f>
        <v/>
      </c>
      <c r="G881" s="9">
        <f>IF($D881="","",YEAR($D881))</f>
        <v/>
      </c>
      <c r="H881" s="9">
        <f>IF($D881="","",ROUNDUP(MONTH($D881)/3,0))</f>
        <v/>
      </c>
    </row>
    <row r="882">
      <c r="A882" s="6" t="n"/>
      <c r="B882" s="6" t="n"/>
      <c r="C882" s="8" t="n"/>
      <c r="D882" s="14" t="n"/>
      <c r="E882" s="6" t="n"/>
      <c r="F882" s="6">
        <f>IF($B882="","",IFERROR(VLOOKUP($B882,Agents!$A:$C,3,FALSE),"؟"))</f>
        <v/>
      </c>
      <c r="G882" s="6">
        <f>IF($D882="","",YEAR($D882))</f>
        <v/>
      </c>
      <c r="H882" s="6">
        <f>IF($D882="","",ROUNDUP(MONTH($D882)/3,0))</f>
        <v/>
      </c>
    </row>
    <row r="883">
      <c r="A883" s="9" t="n"/>
      <c r="B883" s="9" t="n"/>
      <c r="C883" s="10" t="n"/>
      <c r="D883" s="16" t="n"/>
      <c r="E883" s="9" t="n"/>
      <c r="F883" s="9">
        <f>IF($B883="","",IFERROR(VLOOKUP($B883,Agents!$A:$C,3,FALSE),"؟"))</f>
        <v/>
      </c>
      <c r="G883" s="9">
        <f>IF($D883="","",YEAR($D883))</f>
        <v/>
      </c>
      <c r="H883" s="9">
        <f>IF($D883="","",ROUNDUP(MONTH($D883)/3,0))</f>
        <v/>
      </c>
    </row>
    <row r="884">
      <c r="A884" s="6" t="n"/>
      <c r="B884" s="6" t="n"/>
      <c r="C884" s="8" t="n"/>
      <c r="D884" s="14" t="n"/>
      <c r="E884" s="6" t="n"/>
      <c r="F884" s="6">
        <f>IF($B884="","",IFERROR(VLOOKUP($B884,Agents!$A:$C,3,FALSE),"؟"))</f>
        <v/>
      </c>
      <c r="G884" s="6">
        <f>IF($D884="","",YEAR($D884))</f>
        <v/>
      </c>
      <c r="H884" s="6">
        <f>IF($D884="","",ROUNDUP(MONTH($D884)/3,0))</f>
        <v/>
      </c>
    </row>
    <row r="885">
      <c r="A885" s="9" t="n"/>
      <c r="B885" s="9" t="n"/>
      <c r="C885" s="10" t="n"/>
      <c r="D885" s="16" t="n"/>
      <c r="E885" s="9" t="n"/>
      <c r="F885" s="9">
        <f>IF($B885="","",IFERROR(VLOOKUP($B885,Agents!$A:$C,3,FALSE),"؟"))</f>
        <v/>
      </c>
      <c r="G885" s="9">
        <f>IF($D885="","",YEAR($D885))</f>
        <v/>
      </c>
      <c r="H885" s="9">
        <f>IF($D885="","",ROUNDUP(MONTH($D885)/3,0))</f>
        <v/>
      </c>
    </row>
    <row r="886">
      <c r="A886" s="6" t="n"/>
      <c r="B886" s="6" t="n"/>
      <c r="C886" s="8" t="n"/>
      <c r="D886" s="14" t="n"/>
      <c r="E886" s="6" t="n"/>
      <c r="F886" s="6">
        <f>IF($B886="","",IFERROR(VLOOKUP($B886,Agents!$A:$C,3,FALSE),"؟"))</f>
        <v/>
      </c>
      <c r="G886" s="6">
        <f>IF($D886="","",YEAR($D886))</f>
        <v/>
      </c>
      <c r="H886" s="6">
        <f>IF($D886="","",ROUNDUP(MONTH($D886)/3,0))</f>
        <v/>
      </c>
    </row>
    <row r="887">
      <c r="A887" s="9" t="n"/>
      <c r="B887" s="9" t="n"/>
      <c r="C887" s="10" t="n"/>
      <c r="D887" s="16" t="n"/>
      <c r="E887" s="9" t="n"/>
      <c r="F887" s="9">
        <f>IF($B887="","",IFERROR(VLOOKUP($B887,Agents!$A:$C,3,FALSE),"؟"))</f>
        <v/>
      </c>
      <c r="G887" s="9">
        <f>IF($D887="","",YEAR($D887))</f>
        <v/>
      </c>
      <c r="H887" s="9">
        <f>IF($D887="","",ROUNDUP(MONTH($D887)/3,0))</f>
        <v/>
      </c>
    </row>
    <row r="888">
      <c r="A888" s="6" t="n"/>
      <c r="B888" s="6" t="n"/>
      <c r="C888" s="8" t="n"/>
      <c r="D888" s="14" t="n"/>
      <c r="E888" s="6" t="n"/>
      <c r="F888" s="6">
        <f>IF($B888="","",IFERROR(VLOOKUP($B888,Agents!$A:$C,3,FALSE),"؟"))</f>
        <v/>
      </c>
      <c r="G888" s="6">
        <f>IF($D888="","",YEAR($D888))</f>
        <v/>
      </c>
      <c r="H888" s="6">
        <f>IF($D888="","",ROUNDUP(MONTH($D888)/3,0))</f>
        <v/>
      </c>
    </row>
    <row r="889">
      <c r="A889" s="9" t="n"/>
      <c r="B889" s="9" t="n"/>
      <c r="C889" s="10" t="n"/>
      <c r="D889" s="16" t="n"/>
      <c r="E889" s="9" t="n"/>
      <c r="F889" s="9">
        <f>IF($B889="","",IFERROR(VLOOKUP($B889,Agents!$A:$C,3,FALSE),"؟"))</f>
        <v/>
      </c>
      <c r="G889" s="9">
        <f>IF($D889="","",YEAR($D889))</f>
        <v/>
      </c>
      <c r="H889" s="9">
        <f>IF($D889="","",ROUNDUP(MONTH($D889)/3,0))</f>
        <v/>
      </c>
    </row>
    <row r="890">
      <c r="A890" s="6" t="n"/>
      <c r="B890" s="6" t="n"/>
      <c r="C890" s="8" t="n"/>
      <c r="D890" s="14" t="n"/>
      <c r="E890" s="6" t="n"/>
      <c r="F890" s="6">
        <f>IF($B890="","",IFERROR(VLOOKUP($B890,Agents!$A:$C,3,FALSE),"؟"))</f>
        <v/>
      </c>
      <c r="G890" s="6">
        <f>IF($D890="","",YEAR($D890))</f>
        <v/>
      </c>
      <c r="H890" s="6">
        <f>IF($D890="","",ROUNDUP(MONTH($D890)/3,0))</f>
        <v/>
      </c>
    </row>
    <row r="891">
      <c r="A891" s="9" t="n"/>
      <c r="B891" s="9" t="n"/>
      <c r="C891" s="10" t="n"/>
      <c r="D891" s="16" t="n"/>
      <c r="E891" s="9" t="n"/>
      <c r="F891" s="9">
        <f>IF($B891="","",IFERROR(VLOOKUP($B891,Agents!$A:$C,3,FALSE),"؟"))</f>
        <v/>
      </c>
      <c r="G891" s="9">
        <f>IF($D891="","",YEAR($D891))</f>
        <v/>
      </c>
      <c r="H891" s="9">
        <f>IF($D891="","",ROUNDUP(MONTH($D891)/3,0))</f>
        <v/>
      </c>
    </row>
    <row r="892">
      <c r="A892" s="6" t="n"/>
      <c r="B892" s="6" t="n"/>
      <c r="C892" s="8" t="n"/>
      <c r="D892" s="14" t="n"/>
      <c r="E892" s="6" t="n"/>
      <c r="F892" s="6">
        <f>IF($B892="","",IFERROR(VLOOKUP($B892,Agents!$A:$C,3,FALSE),"؟"))</f>
        <v/>
      </c>
      <c r="G892" s="6">
        <f>IF($D892="","",YEAR($D892))</f>
        <v/>
      </c>
      <c r="H892" s="6">
        <f>IF($D892="","",ROUNDUP(MONTH($D892)/3,0))</f>
        <v/>
      </c>
    </row>
    <row r="893">
      <c r="A893" s="9" t="n"/>
      <c r="B893" s="9" t="n"/>
      <c r="C893" s="10" t="n"/>
      <c r="D893" s="16" t="n"/>
      <c r="E893" s="9" t="n"/>
      <c r="F893" s="9">
        <f>IF($B893="","",IFERROR(VLOOKUP($B893,Agents!$A:$C,3,FALSE),"؟"))</f>
        <v/>
      </c>
      <c r="G893" s="9">
        <f>IF($D893="","",YEAR($D893))</f>
        <v/>
      </c>
      <c r="H893" s="9">
        <f>IF($D893="","",ROUNDUP(MONTH($D893)/3,0))</f>
        <v/>
      </c>
    </row>
    <row r="894">
      <c r="A894" s="6" t="n"/>
      <c r="B894" s="6" t="n"/>
      <c r="C894" s="8" t="n"/>
      <c r="D894" s="14" t="n"/>
      <c r="E894" s="6" t="n"/>
      <c r="F894" s="6">
        <f>IF($B894="","",IFERROR(VLOOKUP($B894,Agents!$A:$C,3,FALSE),"؟"))</f>
        <v/>
      </c>
      <c r="G894" s="6">
        <f>IF($D894="","",YEAR($D894))</f>
        <v/>
      </c>
      <c r="H894" s="6">
        <f>IF($D894="","",ROUNDUP(MONTH($D894)/3,0))</f>
        <v/>
      </c>
    </row>
    <row r="895">
      <c r="A895" s="9" t="n"/>
      <c r="B895" s="9" t="n"/>
      <c r="C895" s="10" t="n"/>
      <c r="D895" s="16" t="n"/>
      <c r="E895" s="9" t="n"/>
      <c r="F895" s="9">
        <f>IF($B895="","",IFERROR(VLOOKUP($B895,Agents!$A:$C,3,FALSE),"؟"))</f>
        <v/>
      </c>
      <c r="G895" s="9">
        <f>IF($D895="","",YEAR($D895))</f>
        <v/>
      </c>
      <c r="H895" s="9">
        <f>IF($D895="","",ROUNDUP(MONTH($D895)/3,0))</f>
        <v/>
      </c>
    </row>
    <row r="896">
      <c r="A896" s="6" t="n"/>
      <c r="B896" s="6" t="n"/>
      <c r="C896" s="8" t="n"/>
      <c r="D896" s="14" t="n"/>
      <c r="E896" s="6" t="n"/>
      <c r="F896" s="6">
        <f>IF($B896="","",IFERROR(VLOOKUP($B896,Agents!$A:$C,3,FALSE),"؟"))</f>
        <v/>
      </c>
      <c r="G896" s="6">
        <f>IF($D896="","",YEAR($D896))</f>
        <v/>
      </c>
      <c r="H896" s="6">
        <f>IF($D896="","",ROUNDUP(MONTH($D896)/3,0))</f>
        <v/>
      </c>
    </row>
    <row r="897">
      <c r="A897" s="9" t="n"/>
      <c r="B897" s="9" t="n"/>
      <c r="C897" s="10" t="n"/>
      <c r="D897" s="16" t="n"/>
      <c r="E897" s="9" t="n"/>
      <c r="F897" s="9">
        <f>IF($B897="","",IFERROR(VLOOKUP($B897,Agents!$A:$C,3,FALSE),"؟"))</f>
        <v/>
      </c>
      <c r="G897" s="9">
        <f>IF($D897="","",YEAR($D897))</f>
        <v/>
      </c>
      <c r="H897" s="9">
        <f>IF($D897="","",ROUNDUP(MONTH($D897)/3,0))</f>
        <v/>
      </c>
    </row>
    <row r="898">
      <c r="A898" s="6" t="n"/>
      <c r="B898" s="6" t="n"/>
      <c r="C898" s="8" t="n"/>
      <c r="D898" s="14" t="n"/>
      <c r="E898" s="6" t="n"/>
      <c r="F898" s="6">
        <f>IF($B898="","",IFERROR(VLOOKUP($B898,Agents!$A:$C,3,FALSE),"؟"))</f>
        <v/>
      </c>
      <c r="G898" s="6">
        <f>IF($D898="","",YEAR($D898))</f>
        <v/>
      </c>
      <c r="H898" s="6">
        <f>IF($D898="","",ROUNDUP(MONTH($D898)/3,0))</f>
        <v/>
      </c>
    </row>
    <row r="899">
      <c r="A899" s="9" t="n"/>
      <c r="B899" s="9" t="n"/>
      <c r="C899" s="10" t="n"/>
      <c r="D899" s="16" t="n"/>
      <c r="E899" s="9" t="n"/>
      <c r="F899" s="9">
        <f>IF($B899="","",IFERROR(VLOOKUP($B899,Agents!$A:$C,3,FALSE),"؟"))</f>
        <v/>
      </c>
      <c r="G899" s="9">
        <f>IF($D899="","",YEAR($D899))</f>
        <v/>
      </c>
      <c r="H899" s="9">
        <f>IF($D899="","",ROUNDUP(MONTH($D899)/3,0))</f>
        <v/>
      </c>
    </row>
    <row r="900">
      <c r="A900" s="6" t="n"/>
      <c r="B900" s="6" t="n"/>
      <c r="C900" s="8" t="n"/>
      <c r="D900" s="14" t="n"/>
      <c r="E900" s="6" t="n"/>
      <c r="F900" s="6">
        <f>IF($B900="","",IFERROR(VLOOKUP($B900,Agents!$A:$C,3,FALSE),"؟"))</f>
        <v/>
      </c>
      <c r="G900" s="6">
        <f>IF($D900="","",YEAR($D900))</f>
        <v/>
      </c>
      <c r="H900" s="6">
        <f>IF($D900="","",ROUNDUP(MONTH($D900)/3,0))</f>
        <v/>
      </c>
    </row>
    <row r="901">
      <c r="A901" s="9" t="n"/>
      <c r="B901" s="9" t="n"/>
      <c r="C901" s="10" t="n"/>
      <c r="D901" s="16" t="n"/>
      <c r="E901" s="9" t="n"/>
      <c r="F901" s="9">
        <f>IF($B901="","",IFERROR(VLOOKUP($B901,Agents!$A:$C,3,FALSE),"؟"))</f>
        <v/>
      </c>
      <c r="G901" s="9">
        <f>IF($D901="","",YEAR($D901))</f>
        <v/>
      </c>
      <c r="H901" s="9">
        <f>IF($D901="","",ROUNDUP(MONTH($D901)/3,0))</f>
        <v/>
      </c>
    </row>
    <row r="902">
      <c r="A902" s="6" t="n"/>
      <c r="B902" s="6" t="n"/>
      <c r="C902" s="8" t="n"/>
      <c r="D902" s="14" t="n"/>
      <c r="E902" s="6" t="n"/>
      <c r="F902" s="6">
        <f>IF($B902="","",IFERROR(VLOOKUP($B902,Agents!$A:$C,3,FALSE),"؟"))</f>
        <v/>
      </c>
      <c r="G902" s="6">
        <f>IF($D902="","",YEAR($D902))</f>
        <v/>
      </c>
      <c r="H902" s="6">
        <f>IF($D902="","",ROUNDUP(MONTH($D902)/3,0))</f>
        <v/>
      </c>
    </row>
    <row r="903">
      <c r="A903" s="9" t="n"/>
      <c r="B903" s="9" t="n"/>
      <c r="C903" s="10" t="n"/>
      <c r="D903" s="16" t="n"/>
      <c r="E903" s="9" t="n"/>
      <c r="F903" s="9">
        <f>IF($B903="","",IFERROR(VLOOKUP($B903,Agents!$A:$C,3,FALSE),"؟"))</f>
        <v/>
      </c>
      <c r="G903" s="9">
        <f>IF($D903="","",YEAR($D903))</f>
        <v/>
      </c>
      <c r="H903" s="9">
        <f>IF($D903="","",ROUNDUP(MONTH($D903)/3,0))</f>
        <v/>
      </c>
    </row>
    <row r="904">
      <c r="A904" s="6" t="n"/>
      <c r="B904" s="6" t="n"/>
      <c r="C904" s="8" t="n"/>
      <c r="D904" s="14" t="n"/>
      <c r="E904" s="6" t="n"/>
      <c r="F904" s="6">
        <f>IF($B904="","",IFERROR(VLOOKUP($B904,Agents!$A:$C,3,FALSE),"؟"))</f>
        <v/>
      </c>
      <c r="G904" s="6">
        <f>IF($D904="","",YEAR($D904))</f>
        <v/>
      </c>
      <c r="H904" s="6">
        <f>IF($D904="","",ROUNDUP(MONTH($D904)/3,0))</f>
        <v/>
      </c>
    </row>
    <row r="905">
      <c r="A905" s="9" t="n"/>
      <c r="B905" s="9" t="n"/>
      <c r="C905" s="10" t="n"/>
      <c r="D905" s="16" t="n"/>
      <c r="E905" s="9" t="n"/>
      <c r="F905" s="9">
        <f>IF($B905="","",IFERROR(VLOOKUP($B905,Agents!$A:$C,3,FALSE),"؟"))</f>
        <v/>
      </c>
      <c r="G905" s="9">
        <f>IF($D905="","",YEAR($D905))</f>
        <v/>
      </c>
      <c r="H905" s="9">
        <f>IF($D905="","",ROUNDUP(MONTH($D905)/3,0))</f>
        <v/>
      </c>
    </row>
    <row r="906">
      <c r="A906" s="6" t="n"/>
      <c r="B906" s="6" t="n"/>
      <c r="C906" s="8" t="n"/>
      <c r="D906" s="14" t="n"/>
      <c r="E906" s="6" t="n"/>
      <c r="F906" s="6">
        <f>IF($B906="","",IFERROR(VLOOKUP($B906,Agents!$A:$C,3,FALSE),"؟"))</f>
        <v/>
      </c>
      <c r="G906" s="6">
        <f>IF($D906="","",YEAR($D906))</f>
        <v/>
      </c>
      <c r="H906" s="6">
        <f>IF($D906="","",ROUNDUP(MONTH($D906)/3,0))</f>
        <v/>
      </c>
    </row>
    <row r="907">
      <c r="A907" s="9" t="n"/>
      <c r="B907" s="9" t="n"/>
      <c r="C907" s="10" t="n"/>
      <c r="D907" s="16" t="n"/>
      <c r="E907" s="9" t="n"/>
      <c r="F907" s="9">
        <f>IF($B907="","",IFERROR(VLOOKUP($B907,Agents!$A:$C,3,FALSE),"؟"))</f>
        <v/>
      </c>
      <c r="G907" s="9">
        <f>IF($D907="","",YEAR($D907))</f>
        <v/>
      </c>
      <c r="H907" s="9">
        <f>IF($D907="","",ROUNDUP(MONTH($D907)/3,0))</f>
        <v/>
      </c>
    </row>
    <row r="908">
      <c r="A908" s="6" t="n"/>
      <c r="B908" s="6" t="n"/>
      <c r="C908" s="8" t="n"/>
      <c r="D908" s="14" t="n"/>
      <c r="E908" s="6" t="n"/>
      <c r="F908" s="6">
        <f>IF($B908="","",IFERROR(VLOOKUP($B908,Agents!$A:$C,3,FALSE),"؟"))</f>
        <v/>
      </c>
      <c r="G908" s="6">
        <f>IF($D908="","",YEAR($D908))</f>
        <v/>
      </c>
      <c r="H908" s="6">
        <f>IF($D908="","",ROUNDUP(MONTH($D908)/3,0))</f>
        <v/>
      </c>
    </row>
    <row r="909">
      <c r="A909" s="9" t="n"/>
      <c r="B909" s="9" t="n"/>
      <c r="C909" s="10" t="n"/>
      <c r="D909" s="16" t="n"/>
      <c r="E909" s="9" t="n"/>
      <c r="F909" s="9">
        <f>IF($B909="","",IFERROR(VLOOKUP($B909,Agents!$A:$C,3,FALSE),"؟"))</f>
        <v/>
      </c>
      <c r="G909" s="9">
        <f>IF($D909="","",YEAR($D909))</f>
        <v/>
      </c>
      <c r="H909" s="9">
        <f>IF($D909="","",ROUNDUP(MONTH($D909)/3,0))</f>
        <v/>
      </c>
    </row>
    <row r="910">
      <c r="A910" s="6" t="n"/>
      <c r="B910" s="6" t="n"/>
      <c r="C910" s="8" t="n"/>
      <c r="D910" s="14" t="n"/>
      <c r="E910" s="6" t="n"/>
      <c r="F910" s="6">
        <f>IF($B910="","",IFERROR(VLOOKUP($B910,Agents!$A:$C,3,FALSE),"؟"))</f>
        <v/>
      </c>
      <c r="G910" s="6">
        <f>IF($D910="","",YEAR($D910))</f>
        <v/>
      </c>
      <c r="H910" s="6">
        <f>IF($D910="","",ROUNDUP(MONTH($D910)/3,0))</f>
        <v/>
      </c>
    </row>
    <row r="911">
      <c r="A911" s="9" t="n"/>
      <c r="B911" s="9" t="n"/>
      <c r="C911" s="10" t="n"/>
      <c r="D911" s="16" t="n"/>
      <c r="E911" s="9" t="n"/>
      <c r="F911" s="9">
        <f>IF($B911="","",IFERROR(VLOOKUP($B911,Agents!$A:$C,3,FALSE),"؟"))</f>
        <v/>
      </c>
      <c r="G911" s="9">
        <f>IF($D911="","",YEAR($D911))</f>
        <v/>
      </c>
      <c r="H911" s="9">
        <f>IF($D911="","",ROUNDUP(MONTH($D911)/3,0))</f>
        <v/>
      </c>
    </row>
    <row r="912">
      <c r="A912" s="6" t="n"/>
      <c r="B912" s="6" t="n"/>
      <c r="C912" s="8" t="n"/>
      <c r="D912" s="14" t="n"/>
      <c r="E912" s="6" t="n"/>
      <c r="F912" s="6">
        <f>IF($B912="","",IFERROR(VLOOKUP($B912,Agents!$A:$C,3,FALSE),"؟"))</f>
        <v/>
      </c>
      <c r="G912" s="6">
        <f>IF($D912="","",YEAR($D912))</f>
        <v/>
      </c>
      <c r="H912" s="6">
        <f>IF($D912="","",ROUNDUP(MONTH($D912)/3,0))</f>
        <v/>
      </c>
    </row>
    <row r="913">
      <c r="A913" s="9" t="n"/>
      <c r="B913" s="9" t="n"/>
      <c r="C913" s="10" t="n"/>
      <c r="D913" s="16" t="n"/>
      <c r="E913" s="9" t="n"/>
      <c r="F913" s="9">
        <f>IF($B913="","",IFERROR(VLOOKUP($B913,Agents!$A:$C,3,FALSE),"؟"))</f>
        <v/>
      </c>
      <c r="G913" s="9">
        <f>IF($D913="","",YEAR($D913))</f>
        <v/>
      </c>
      <c r="H913" s="9">
        <f>IF($D913="","",ROUNDUP(MONTH($D913)/3,0))</f>
        <v/>
      </c>
    </row>
    <row r="914">
      <c r="A914" s="6" t="n"/>
      <c r="B914" s="6" t="n"/>
      <c r="C914" s="8" t="n"/>
      <c r="D914" s="14" t="n"/>
      <c r="E914" s="6" t="n"/>
      <c r="F914" s="6">
        <f>IF($B914="","",IFERROR(VLOOKUP($B914,Agents!$A:$C,3,FALSE),"؟"))</f>
        <v/>
      </c>
      <c r="G914" s="6">
        <f>IF($D914="","",YEAR($D914))</f>
        <v/>
      </c>
      <c r="H914" s="6">
        <f>IF($D914="","",ROUNDUP(MONTH($D914)/3,0))</f>
        <v/>
      </c>
    </row>
    <row r="915">
      <c r="A915" s="9" t="n"/>
      <c r="B915" s="9" t="n"/>
      <c r="C915" s="10" t="n"/>
      <c r="D915" s="16" t="n"/>
      <c r="E915" s="9" t="n"/>
      <c r="F915" s="9">
        <f>IF($B915="","",IFERROR(VLOOKUP($B915,Agents!$A:$C,3,FALSE),"؟"))</f>
        <v/>
      </c>
      <c r="G915" s="9">
        <f>IF($D915="","",YEAR($D915))</f>
        <v/>
      </c>
      <c r="H915" s="9">
        <f>IF($D915="","",ROUNDUP(MONTH($D915)/3,0))</f>
        <v/>
      </c>
    </row>
    <row r="916">
      <c r="A916" s="6" t="n"/>
      <c r="B916" s="6" t="n"/>
      <c r="C916" s="8" t="n"/>
      <c r="D916" s="14" t="n"/>
      <c r="E916" s="6" t="n"/>
      <c r="F916" s="6">
        <f>IF($B916="","",IFERROR(VLOOKUP($B916,Agents!$A:$C,3,FALSE),"؟"))</f>
        <v/>
      </c>
      <c r="G916" s="6">
        <f>IF($D916="","",YEAR($D916))</f>
        <v/>
      </c>
      <c r="H916" s="6">
        <f>IF($D916="","",ROUNDUP(MONTH($D916)/3,0))</f>
        <v/>
      </c>
    </row>
    <row r="917">
      <c r="A917" s="9" t="n"/>
      <c r="B917" s="9" t="n"/>
      <c r="C917" s="10" t="n"/>
      <c r="D917" s="16" t="n"/>
      <c r="E917" s="9" t="n"/>
      <c r="F917" s="9">
        <f>IF($B917="","",IFERROR(VLOOKUP($B917,Agents!$A:$C,3,FALSE),"؟"))</f>
        <v/>
      </c>
      <c r="G917" s="9">
        <f>IF($D917="","",YEAR($D917))</f>
        <v/>
      </c>
      <c r="H917" s="9">
        <f>IF($D917="","",ROUNDUP(MONTH($D917)/3,0))</f>
        <v/>
      </c>
    </row>
    <row r="918">
      <c r="A918" s="6" t="n"/>
      <c r="B918" s="6" t="n"/>
      <c r="C918" s="8" t="n"/>
      <c r="D918" s="14" t="n"/>
      <c r="E918" s="6" t="n"/>
      <c r="F918" s="6">
        <f>IF($B918="","",IFERROR(VLOOKUP($B918,Agents!$A:$C,3,FALSE),"؟"))</f>
        <v/>
      </c>
      <c r="G918" s="6">
        <f>IF($D918="","",YEAR($D918))</f>
        <v/>
      </c>
      <c r="H918" s="6">
        <f>IF($D918="","",ROUNDUP(MONTH($D918)/3,0))</f>
        <v/>
      </c>
    </row>
    <row r="919">
      <c r="A919" s="9" t="n"/>
      <c r="B919" s="9" t="n"/>
      <c r="C919" s="10" t="n"/>
      <c r="D919" s="16" t="n"/>
      <c r="E919" s="9" t="n"/>
      <c r="F919" s="9">
        <f>IF($B919="","",IFERROR(VLOOKUP($B919,Agents!$A:$C,3,FALSE),"؟"))</f>
        <v/>
      </c>
      <c r="G919" s="9">
        <f>IF($D919="","",YEAR($D919))</f>
        <v/>
      </c>
      <c r="H919" s="9">
        <f>IF($D919="","",ROUNDUP(MONTH($D919)/3,0))</f>
        <v/>
      </c>
    </row>
    <row r="920">
      <c r="A920" s="6" t="n"/>
      <c r="B920" s="6" t="n"/>
      <c r="C920" s="8" t="n"/>
      <c r="D920" s="14" t="n"/>
      <c r="E920" s="6" t="n"/>
      <c r="F920" s="6">
        <f>IF($B920="","",IFERROR(VLOOKUP($B920,Agents!$A:$C,3,FALSE),"؟"))</f>
        <v/>
      </c>
      <c r="G920" s="6">
        <f>IF($D920="","",YEAR($D920))</f>
        <v/>
      </c>
      <c r="H920" s="6">
        <f>IF($D920="","",ROUNDUP(MONTH($D920)/3,0))</f>
        <v/>
      </c>
    </row>
    <row r="921">
      <c r="A921" s="9" t="n"/>
      <c r="B921" s="9" t="n"/>
      <c r="C921" s="10" t="n"/>
      <c r="D921" s="16" t="n"/>
      <c r="E921" s="9" t="n"/>
      <c r="F921" s="9">
        <f>IF($B921="","",IFERROR(VLOOKUP($B921,Agents!$A:$C,3,FALSE),"؟"))</f>
        <v/>
      </c>
      <c r="G921" s="9">
        <f>IF($D921="","",YEAR($D921))</f>
        <v/>
      </c>
      <c r="H921" s="9">
        <f>IF($D921="","",ROUNDUP(MONTH($D921)/3,0))</f>
        <v/>
      </c>
    </row>
    <row r="922">
      <c r="A922" s="6" t="n"/>
      <c r="B922" s="6" t="n"/>
      <c r="C922" s="8" t="n"/>
      <c r="D922" s="14" t="n"/>
      <c r="E922" s="6" t="n"/>
      <c r="F922" s="6">
        <f>IF($B922="","",IFERROR(VLOOKUP($B922,Agents!$A:$C,3,FALSE),"؟"))</f>
        <v/>
      </c>
      <c r="G922" s="6">
        <f>IF($D922="","",YEAR($D922))</f>
        <v/>
      </c>
      <c r="H922" s="6">
        <f>IF($D922="","",ROUNDUP(MONTH($D922)/3,0))</f>
        <v/>
      </c>
    </row>
    <row r="923">
      <c r="A923" s="9" t="n"/>
      <c r="B923" s="9" t="n"/>
      <c r="C923" s="10" t="n"/>
      <c r="D923" s="16" t="n"/>
      <c r="E923" s="9" t="n"/>
      <c r="F923" s="9">
        <f>IF($B923="","",IFERROR(VLOOKUP($B923,Agents!$A:$C,3,FALSE),"؟"))</f>
        <v/>
      </c>
      <c r="G923" s="9">
        <f>IF($D923="","",YEAR($D923))</f>
        <v/>
      </c>
      <c r="H923" s="9">
        <f>IF($D923="","",ROUNDUP(MONTH($D923)/3,0))</f>
        <v/>
      </c>
    </row>
    <row r="924">
      <c r="A924" s="6" t="n"/>
      <c r="B924" s="6" t="n"/>
      <c r="C924" s="8" t="n"/>
      <c r="D924" s="14" t="n"/>
      <c r="E924" s="6" t="n"/>
      <c r="F924" s="6">
        <f>IF($B924="","",IFERROR(VLOOKUP($B924,Agents!$A:$C,3,FALSE),"؟"))</f>
        <v/>
      </c>
      <c r="G924" s="6">
        <f>IF($D924="","",YEAR($D924))</f>
        <v/>
      </c>
      <c r="H924" s="6">
        <f>IF($D924="","",ROUNDUP(MONTH($D924)/3,0))</f>
        <v/>
      </c>
    </row>
    <row r="925">
      <c r="A925" s="9" t="n"/>
      <c r="B925" s="9" t="n"/>
      <c r="C925" s="10" t="n"/>
      <c r="D925" s="16" t="n"/>
      <c r="E925" s="9" t="n"/>
      <c r="F925" s="9">
        <f>IF($B925="","",IFERROR(VLOOKUP($B925,Agents!$A:$C,3,FALSE),"؟"))</f>
        <v/>
      </c>
      <c r="G925" s="9">
        <f>IF($D925="","",YEAR($D925))</f>
        <v/>
      </c>
      <c r="H925" s="9">
        <f>IF($D925="","",ROUNDUP(MONTH($D925)/3,0))</f>
        <v/>
      </c>
    </row>
    <row r="926">
      <c r="A926" s="6" t="n"/>
      <c r="B926" s="6" t="n"/>
      <c r="C926" s="8" t="n"/>
      <c r="D926" s="14" t="n"/>
      <c r="E926" s="6" t="n"/>
      <c r="F926" s="6">
        <f>IF($B926="","",IFERROR(VLOOKUP($B926,Agents!$A:$C,3,FALSE),"؟"))</f>
        <v/>
      </c>
      <c r="G926" s="6">
        <f>IF($D926="","",YEAR($D926))</f>
        <v/>
      </c>
      <c r="H926" s="6">
        <f>IF($D926="","",ROUNDUP(MONTH($D926)/3,0))</f>
        <v/>
      </c>
    </row>
    <row r="927">
      <c r="A927" s="9" t="n"/>
      <c r="B927" s="9" t="n"/>
      <c r="C927" s="10" t="n"/>
      <c r="D927" s="16" t="n"/>
      <c r="E927" s="9" t="n"/>
      <c r="F927" s="9">
        <f>IF($B927="","",IFERROR(VLOOKUP($B927,Agents!$A:$C,3,FALSE),"؟"))</f>
        <v/>
      </c>
      <c r="G927" s="9">
        <f>IF($D927="","",YEAR($D927))</f>
        <v/>
      </c>
      <c r="H927" s="9">
        <f>IF($D927="","",ROUNDUP(MONTH($D927)/3,0))</f>
        <v/>
      </c>
    </row>
    <row r="928">
      <c r="A928" s="6" t="n"/>
      <c r="B928" s="6" t="n"/>
      <c r="C928" s="8" t="n"/>
      <c r="D928" s="14" t="n"/>
      <c r="E928" s="6" t="n"/>
      <c r="F928" s="6">
        <f>IF($B928="","",IFERROR(VLOOKUP($B928,Agents!$A:$C,3,FALSE),"؟"))</f>
        <v/>
      </c>
      <c r="G928" s="6">
        <f>IF($D928="","",YEAR($D928))</f>
        <v/>
      </c>
      <c r="H928" s="6">
        <f>IF($D928="","",ROUNDUP(MONTH($D928)/3,0))</f>
        <v/>
      </c>
    </row>
    <row r="929">
      <c r="A929" s="9" t="n"/>
      <c r="B929" s="9" t="n"/>
      <c r="C929" s="10" t="n"/>
      <c r="D929" s="16" t="n"/>
      <c r="E929" s="9" t="n"/>
      <c r="F929" s="9">
        <f>IF($B929="","",IFERROR(VLOOKUP($B929,Agents!$A:$C,3,FALSE),"؟"))</f>
        <v/>
      </c>
      <c r="G929" s="9">
        <f>IF($D929="","",YEAR($D929))</f>
        <v/>
      </c>
      <c r="H929" s="9">
        <f>IF($D929="","",ROUNDUP(MONTH($D929)/3,0))</f>
        <v/>
      </c>
    </row>
    <row r="930">
      <c r="A930" s="6" t="n"/>
      <c r="B930" s="6" t="n"/>
      <c r="C930" s="8" t="n"/>
      <c r="D930" s="14" t="n"/>
      <c r="E930" s="6" t="n"/>
      <c r="F930" s="6">
        <f>IF($B930="","",IFERROR(VLOOKUP($B930,Agents!$A:$C,3,FALSE),"؟"))</f>
        <v/>
      </c>
      <c r="G930" s="6">
        <f>IF($D930="","",YEAR($D930))</f>
        <v/>
      </c>
      <c r="H930" s="6">
        <f>IF($D930="","",ROUNDUP(MONTH($D930)/3,0))</f>
        <v/>
      </c>
    </row>
    <row r="931">
      <c r="A931" s="9" t="n"/>
      <c r="B931" s="9" t="n"/>
      <c r="C931" s="10" t="n"/>
      <c r="D931" s="16" t="n"/>
      <c r="E931" s="9" t="n"/>
      <c r="F931" s="9">
        <f>IF($B931="","",IFERROR(VLOOKUP($B931,Agents!$A:$C,3,FALSE),"؟"))</f>
        <v/>
      </c>
      <c r="G931" s="9">
        <f>IF($D931="","",YEAR($D931))</f>
        <v/>
      </c>
      <c r="H931" s="9">
        <f>IF($D931="","",ROUNDUP(MONTH($D931)/3,0))</f>
        <v/>
      </c>
    </row>
    <row r="932">
      <c r="A932" s="6" t="n"/>
      <c r="B932" s="6" t="n"/>
      <c r="C932" s="8" t="n"/>
      <c r="D932" s="14" t="n"/>
      <c r="E932" s="6" t="n"/>
      <c r="F932" s="6">
        <f>IF($B932="","",IFERROR(VLOOKUP($B932,Agents!$A:$C,3,FALSE),"؟"))</f>
        <v/>
      </c>
      <c r="G932" s="6">
        <f>IF($D932="","",YEAR($D932))</f>
        <v/>
      </c>
      <c r="H932" s="6">
        <f>IF($D932="","",ROUNDUP(MONTH($D932)/3,0))</f>
        <v/>
      </c>
    </row>
    <row r="933">
      <c r="A933" s="9" t="n"/>
      <c r="B933" s="9" t="n"/>
      <c r="C933" s="10" t="n"/>
      <c r="D933" s="16" t="n"/>
      <c r="E933" s="9" t="n"/>
      <c r="F933" s="9">
        <f>IF($B933="","",IFERROR(VLOOKUP($B933,Agents!$A:$C,3,FALSE),"؟"))</f>
        <v/>
      </c>
      <c r="G933" s="9">
        <f>IF($D933="","",YEAR($D933))</f>
        <v/>
      </c>
      <c r="H933" s="9">
        <f>IF($D933="","",ROUNDUP(MONTH($D933)/3,0))</f>
        <v/>
      </c>
    </row>
    <row r="934">
      <c r="A934" s="6" t="n"/>
      <c r="B934" s="6" t="n"/>
      <c r="C934" s="8" t="n"/>
      <c r="D934" s="14" t="n"/>
      <c r="E934" s="6" t="n"/>
      <c r="F934" s="6">
        <f>IF($B934="","",IFERROR(VLOOKUP($B934,Agents!$A:$C,3,FALSE),"؟"))</f>
        <v/>
      </c>
      <c r="G934" s="6">
        <f>IF($D934="","",YEAR($D934))</f>
        <v/>
      </c>
      <c r="H934" s="6">
        <f>IF($D934="","",ROUNDUP(MONTH($D934)/3,0))</f>
        <v/>
      </c>
    </row>
    <row r="935">
      <c r="A935" s="9" t="n"/>
      <c r="B935" s="9" t="n"/>
      <c r="C935" s="10" t="n"/>
      <c r="D935" s="16" t="n"/>
      <c r="E935" s="9" t="n"/>
      <c r="F935" s="9">
        <f>IF($B935="","",IFERROR(VLOOKUP($B935,Agents!$A:$C,3,FALSE),"؟"))</f>
        <v/>
      </c>
      <c r="G935" s="9">
        <f>IF($D935="","",YEAR($D935))</f>
        <v/>
      </c>
      <c r="H935" s="9">
        <f>IF($D935="","",ROUNDUP(MONTH($D935)/3,0))</f>
        <v/>
      </c>
    </row>
    <row r="936">
      <c r="A936" s="6" t="n"/>
      <c r="B936" s="6" t="n"/>
      <c r="C936" s="8" t="n"/>
      <c r="D936" s="14" t="n"/>
      <c r="E936" s="6" t="n"/>
      <c r="F936" s="6">
        <f>IF($B936="","",IFERROR(VLOOKUP($B936,Agents!$A:$C,3,FALSE),"؟"))</f>
        <v/>
      </c>
      <c r="G936" s="6">
        <f>IF($D936="","",YEAR($D936))</f>
        <v/>
      </c>
      <c r="H936" s="6">
        <f>IF($D936="","",ROUNDUP(MONTH($D936)/3,0))</f>
        <v/>
      </c>
    </row>
    <row r="937">
      <c r="A937" s="9" t="n"/>
      <c r="B937" s="9" t="n"/>
      <c r="C937" s="10" t="n"/>
      <c r="D937" s="16" t="n"/>
      <c r="E937" s="9" t="n"/>
      <c r="F937" s="9">
        <f>IF($B937="","",IFERROR(VLOOKUP($B937,Agents!$A:$C,3,FALSE),"؟"))</f>
        <v/>
      </c>
      <c r="G937" s="9">
        <f>IF($D937="","",YEAR($D937))</f>
        <v/>
      </c>
      <c r="H937" s="9">
        <f>IF($D937="","",ROUNDUP(MONTH($D937)/3,0))</f>
        <v/>
      </c>
    </row>
    <row r="938">
      <c r="A938" s="6" t="n"/>
      <c r="B938" s="6" t="n"/>
      <c r="C938" s="8" t="n"/>
      <c r="D938" s="14" t="n"/>
      <c r="E938" s="6" t="n"/>
      <c r="F938" s="6">
        <f>IF($B938="","",IFERROR(VLOOKUP($B938,Agents!$A:$C,3,FALSE),"؟"))</f>
        <v/>
      </c>
      <c r="G938" s="6">
        <f>IF($D938="","",YEAR($D938))</f>
        <v/>
      </c>
      <c r="H938" s="6">
        <f>IF($D938="","",ROUNDUP(MONTH($D938)/3,0))</f>
        <v/>
      </c>
    </row>
    <row r="939">
      <c r="A939" s="9" t="n"/>
      <c r="B939" s="9" t="n"/>
      <c r="C939" s="10" t="n"/>
      <c r="D939" s="16" t="n"/>
      <c r="E939" s="9" t="n"/>
      <c r="F939" s="9">
        <f>IF($B939="","",IFERROR(VLOOKUP($B939,Agents!$A:$C,3,FALSE),"؟"))</f>
        <v/>
      </c>
      <c r="G939" s="9">
        <f>IF($D939="","",YEAR($D939))</f>
        <v/>
      </c>
      <c r="H939" s="9">
        <f>IF($D939="","",ROUNDUP(MONTH($D939)/3,0))</f>
        <v/>
      </c>
    </row>
    <row r="940">
      <c r="A940" s="6" t="n"/>
      <c r="B940" s="6" t="n"/>
      <c r="C940" s="8" t="n"/>
      <c r="D940" s="14" t="n"/>
      <c r="E940" s="6" t="n"/>
      <c r="F940" s="6">
        <f>IF($B940="","",IFERROR(VLOOKUP($B940,Agents!$A:$C,3,FALSE),"؟"))</f>
        <v/>
      </c>
      <c r="G940" s="6">
        <f>IF($D940="","",YEAR($D940))</f>
        <v/>
      </c>
      <c r="H940" s="6">
        <f>IF($D940="","",ROUNDUP(MONTH($D940)/3,0))</f>
        <v/>
      </c>
    </row>
    <row r="941">
      <c r="A941" s="9" t="n"/>
      <c r="B941" s="9" t="n"/>
      <c r="C941" s="10" t="n"/>
      <c r="D941" s="16" t="n"/>
      <c r="E941" s="9" t="n"/>
      <c r="F941" s="9">
        <f>IF($B941="","",IFERROR(VLOOKUP($B941,Agents!$A:$C,3,FALSE),"؟"))</f>
        <v/>
      </c>
      <c r="G941" s="9">
        <f>IF($D941="","",YEAR($D941))</f>
        <v/>
      </c>
      <c r="H941" s="9">
        <f>IF($D941="","",ROUNDUP(MONTH($D941)/3,0))</f>
        <v/>
      </c>
    </row>
    <row r="942">
      <c r="A942" s="6" t="n"/>
      <c r="B942" s="6" t="n"/>
      <c r="C942" s="8" t="n"/>
      <c r="D942" s="14" t="n"/>
      <c r="E942" s="6" t="n"/>
      <c r="F942" s="6">
        <f>IF($B942="","",IFERROR(VLOOKUP($B942,Agents!$A:$C,3,FALSE),"؟"))</f>
        <v/>
      </c>
      <c r="G942" s="6">
        <f>IF($D942="","",YEAR($D942))</f>
        <v/>
      </c>
      <c r="H942" s="6">
        <f>IF($D942="","",ROUNDUP(MONTH($D942)/3,0))</f>
        <v/>
      </c>
    </row>
    <row r="943">
      <c r="A943" s="9" t="n"/>
      <c r="B943" s="9" t="n"/>
      <c r="C943" s="10" t="n"/>
      <c r="D943" s="16" t="n"/>
      <c r="E943" s="9" t="n"/>
      <c r="F943" s="9">
        <f>IF($B943="","",IFERROR(VLOOKUP($B943,Agents!$A:$C,3,FALSE),"؟"))</f>
        <v/>
      </c>
      <c r="G943" s="9">
        <f>IF($D943="","",YEAR($D943))</f>
        <v/>
      </c>
      <c r="H943" s="9">
        <f>IF($D943="","",ROUNDUP(MONTH($D943)/3,0))</f>
        <v/>
      </c>
    </row>
    <row r="944">
      <c r="A944" s="6" t="n"/>
      <c r="B944" s="6" t="n"/>
      <c r="C944" s="8" t="n"/>
      <c r="D944" s="14" t="n"/>
      <c r="E944" s="6" t="n"/>
      <c r="F944" s="6">
        <f>IF($B944="","",IFERROR(VLOOKUP($B944,Agents!$A:$C,3,FALSE),"؟"))</f>
        <v/>
      </c>
      <c r="G944" s="6">
        <f>IF($D944="","",YEAR($D944))</f>
        <v/>
      </c>
      <c r="H944" s="6">
        <f>IF($D944="","",ROUNDUP(MONTH($D944)/3,0))</f>
        <v/>
      </c>
    </row>
    <row r="945">
      <c r="A945" s="9" t="n"/>
      <c r="B945" s="9" t="n"/>
      <c r="C945" s="10" t="n"/>
      <c r="D945" s="16" t="n"/>
      <c r="E945" s="9" t="n"/>
      <c r="F945" s="9">
        <f>IF($B945="","",IFERROR(VLOOKUP($B945,Agents!$A:$C,3,FALSE),"؟"))</f>
        <v/>
      </c>
      <c r="G945" s="9">
        <f>IF($D945="","",YEAR($D945))</f>
        <v/>
      </c>
      <c r="H945" s="9">
        <f>IF($D945="","",ROUNDUP(MONTH($D945)/3,0))</f>
        <v/>
      </c>
    </row>
    <row r="946">
      <c r="A946" s="6" t="n"/>
      <c r="B946" s="6" t="n"/>
      <c r="C946" s="8" t="n"/>
      <c r="D946" s="14" t="n"/>
      <c r="E946" s="6" t="n"/>
      <c r="F946" s="6">
        <f>IF($B946="","",IFERROR(VLOOKUP($B946,Agents!$A:$C,3,FALSE),"؟"))</f>
        <v/>
      </c>
      <c r="G946" s="6">
        <f>IF($D946="","",YEAR($D946))</f>
        <v/>
      </c>
      <c r="H946" s="6">
        <f>IF($D946="","",ROUNDUP(MONTH($D946)/3,0))</f>
        <v/>
      </c>
    </row>
    <row r="947">
      <c r="A947" s="9" t="n"/>
      <c r="B947" s="9" t="n"/>
      <c r="C947" s="10" t="n"/>
      <c r="D947" s="16" t="n"/>
      <c r="E947" s="9" t="n"/>
      <c r="F947" s="9">
        <f>IF($B947="","",IFERROR(VLOOKUP($B947,Agents!$A:$C,3,FALSE),"؟"))</f>
        <v/>
      </c>
      <c r="G947" s="9">
        <f>IF($D947="","",YEAR($D947))</f>
        <v/>
      </c>
      <c r="H947" s="9">
        <f>IF($D947="","",ROUNDUP(MONTH($D947)/3,0))</f>
        <v/>
      </c>
    </row>
    <row r="948">
      <c r="A948" s="6" t="n"/>
      <c r="B948" s="6" t="n"/>
      <c r="C948" s="8" t="n"/>
      <c r="D948" s="14" t="n"/>
      <c r="E948" s="6" t="n"/>
      <c r="F948" s="6">
        <f>IF($B948="","",IFERROR(VLOOKUP($B948,Agents!$A:$C,3,FALSE),"؟"))</f>
        <v/>
      </c>
      <c r="G948" s="6">
        <f>IF($D948="","",YEAR($D948))</f>
        <v/>
      </c>
      <c r="H948" s="6">
        <f>IF($D948="","",ROUNDUP(MONTH($D948)/3,0))</f>
        <v/>
      </c>
    </row>
    <row r="949">
      <c r="A949" s="9" t="n"/>
      <c r="B949" s="9" t="n"/>
      <c r="C949" s="10" t="n"/>
      <c r="D949" s="16" t="n"/>
      <c r="E949" s="9" t="n"/>
      <c r="F949" s="9">
        <f>IF($B949="","",IFERROR(VLOOKUP($B949,Agents!$A:$C,3,FALSE),"؟"))</f>
        <v/>
      </c>
      <c r="G949" s="9">
        <f>IF($D949="","",YEAR($D949))</f>
        <v/>
      </c>
      <c r="H949" s="9">
        <f>IF($D949="","",ROUNDUP(MONTH($D949)/3,0))</f>
        <v/>
      </c>
    </row>
    <row r="950">
      <c r="A950" s="6" t="n"/>
      <c r="B950" s="6" t="n"/>
      <c r="C950" s="8" t="n"/>
      <c r="D950" s="14" t="n"/>
      <c r="E950" s="6" t="n"/>
      <c r="F950" s="6">
        <f>IF($B950="","",IFERROR(VLOOKUP($B950,Agents!$A:$C,3,FALSE),"؟"))</f>
        <v/>
      </c>
      <c r="G950" s="6">
        <f>IF($D950="","",YEAR($D950))</f>
        <v/>
      </c>
      <c r="H950" s="6">
        <f>IF($D950="","",ROUNDUP(MONTH($D950)/3,0))</f>
        <v/>
      </c>
    </row>
    <row r="951">
      <c r="A951" s="9" t="n"/>
      <c r="B951" s="9" t="n"/>
      <c r="C951" s="10" t="n"/>
      <c r="D951" s="16" t="n"/>
      <c r="E951" s="9" t="n"/>
      <c r="F951" s="9">
        <f>IF($B951="","",IFERROR(VLOOKUP($B951,Agents!$A:$C,3,FALSE),"؟"))</f>
        <v/>
      </c>
      <c r="G951" s="9">
        <f>IF($D951="","",YEAR($D951))</f>
        <v/>
      </c>
      <c r="H951" s="9">
        <f>IF($D951="","",ROUNDUP(MONTH($D951)/3,0))</f>
        <v/>
      </c>
    </row>
    <row r="952">
      <c r="A952" s="6" t="n"/>
      <c r="B952" s="6" t="n"/>
      <c r="C952" s="8" t="n"/>
      <c r="D952" s="14" t="n"/>
      <c r="E952" s="6" t="n"/>
      <c r="F952" s="6">
        <f>IF($B952="","",IFERROR(VLOOKUP($B952,Agents!$A:$C,3,FALSE),"؟"))</f>
        <v/>
      </c>
      <c r="G952" s="6">
        <f>IF($D952="","",YEAR($D952))</f>
        <v/>
      </c>
      <c r="H952" s="6">
        <f>IF($D952="","",ROUNDUP(MONTH($D952)/3,0))</f>
        <v/>
      </c>
    </row>
    <row r="953">
      <c r="A953" s="9" t="n"/>
      <c r="B953" s="9" t="n"/>
      <c r="C953" s="10" t="n"/>
      <c r="D953" s="16" t="n"/>
      <c r="E953" s="9" t="n"/>
      <c r="F953" s="9">
        <f>IF($B953="","",IFERROR(VLOOKUP($B953,Agents!$A:$C,3,FALSE),"؟"))</f>
        <v/>
      </c>
      <c r="G953" s="9">
        <f>IF($D953="","",YEAR($D953))</f>
        <v/>
      </c>
      <c r="H953" s="9">
        <f>IF($D953="","",ROUNDUP(MONTH($D953)/3,0))</f>
        <v/>
      </c>
    </row>
    <row r="954">
      <c r="A954" s="6" t="n"/>
      <c r="B954" s="6" t="n"/>
      <c r="C954" s="8" t="n"/>
      <c r="D954" s="14" t="n"/>
      <c r="E954" s="6" t="n"/>
      <c r="F954" s="6">
        <f>IF($B954="","",IFERROR(VLOOKUP($B954,Agents!$A:$C,3,FALSE),"؟"))</f>
        <v/>
      </c>
      <c r="G954" s="6">
        <f>IF($D954="","",YEAR($D954))</f>
        <v/>
      </c>
      <c r="H954" s="6">
        <f>IF($D954="","",ROUNDUP(MONTH($D954)/3,0))</f>
        <v/>
      </c>
    </row>
    <row r="955">
      <c r="A955" s="9" t="n"/>
      <c r="B955" s="9" t="n"/>
      <c r="C955" s="10" t="n"/>
      <c r="D955" s="16" t="n"/>
      <c r="E955" s="9" t="n"/>
      <c r="F955" s="9">
        <f>IF($B955="","",IFERROR(VLOOKUP($B955,Agents!$A:$C,3,FALSE),"؟"))</f>
        <v/>
      </c>
      <c r="G955" s="9">
        <f>IF($D955="","",YEAR($D955))</f>
        <v/>
      </c>
      <c r="H955" s="9">
        <f>IF($D955="","",ROUNDUP(MONTH($D955)/3,0))</f>
        <v/>
      </c>
    </row>
    <row r="956">
      <c r="A956" s="6" t="n"/>
      <c r="B956" s="6" t="n"/>
      <c r="C956" s="8" t="n"/>
      <c r="D956" s="14" t="n"/>
      <c r="E956" s="6" t="n"/>
      <c r="F956" s="6">
        <f>IF($B956="","",IFERROR(VLOOKUP($B956,Agents!$A:$C,3,FALSE),"؟"))</f>
        <v/>
      </c>
      <c r="G956" s="6">
        <f>IF($D956="","",YEAR($D956))</f>
        <v/>
      </c>
      <c r="H956" s="6">
        <f>IF($D956="","",ROUNDUP(MONTH($D956)/3,0))</f>
        <v/>
      </c>
    </row>
    <row r="957">
      <c r="A957" s="9" t="n"/>
      <c r="B957" s="9" t="n"/>
      <c r="C957" s="10" t="n"/>
      <c r="D957" s="16" t="n"/>
      <c r="E957" s="9" t="n"/>
      <c r="F957" s="9">
        <f>IF($B957="","",IFERROR(VLOOKUP($B957,Agents!$A:$C,3,FALSE),"؟"))</f>
        <v/>
      </c>
      <c r="G957" s="9">
        <f>IF($D957="","",YEAR($D957))</f>
        <v/>
      </c>
      <c r="H957" s="9">
        <f>IF($D957="","",ROUNDUP(MONTH($D957)/3,0))</f>
        <v/>
      </c>
    </row>
    <row r="958">
      <c r="A958" s="6" t="n"/>
      <c r="B958" s="6" t="n"/>
      <c r="C958" s="8" t="n"/>
      <c r="D958" s="14" t="n"/>
      <c r="E958" s="6" t="n"/>
      <c r="F958" s="6">
        <f>IF($B958="","",IFERROR(VLOOKUP($B958,Agents!$A:$C,3,FALSE),"؟"))</f>
        <v/>
      </c>
      <c r="G958" s="6">
        <f>IF($D958="","",YEAR($D958))</f>
        <v/>
      </c>
      <c r="H958" s="6">
        <f>IF($D958="","",ROUNDUP(MONTH($D958)/3,0))</f>
        <v/>
      </c>
    </row>
    <row r="959">
      <c r="A959" s="9" t="n"/>
      <c r="B959" s="9" t="n"/>
      <c r="C959" s="10" t="n"/>
      <c r="D959" s="16" t="n"/>
      <c r="E959" s="9" t="n"/>
      <c r="F959" s="9">
        <f>IF($B959="","",IFERROR(VLOOKUP($B959,Agents!$A:$C,3,FALSE),"؟"))</f>
        <v/>
      </c>
      <c r="G959" s="9">
        <f>IF($D959="","",YEAR($D959))</f>
        <v/>
      </c>
      <c r="H959" s="9">
        <f>IF($D959="","",ROUNDUP(MONTH($D959)/3,0))</f>
        <v/>
      </c>
    </row>
    <row r="960">
      <c r="A960" s="6" t="n"/>
      <c r="B960" s="6" t="n"/>
      <c r="C960" s="8" t="n"/>
      <c r="D960" s="14" t="n"/>
      <c r="E960" s="6" t="n"/>
      <c r="F960" s="6">
        <f>IF($B960="","",IFERROR(VLOOKUP($B960,Agents!$A:$C,3,FALSE),"؟"))</f>
        <v/>
      </c>
      <c r="G960" s="6">
        <f>IF($D960="","",YEAR($D960))</f>
        <v/>
      </c>
      <c r="H960" s="6">
        <f>IF($D960="","",ROUNDUP(MONTH($D960)/3,0))</f>
        <v/>
      </c>
    </row>
    <row r="961">
      <c r="A961" s="9" t="n"/>
      <c r="B961" s="9" t="n"/>
      <c r="C961" s="10" t="n"/>
      <c r="D961" s="16" t="n"/>
      <c r="E961" s="9" t="n"/>
      <c r="F961" s="9">
        <f>IF($B961="","",IFERROR(VLOOKUP($B961,Agents!$A:$C,3,FALSE),"؟"))</f>
        <v/>
      </c>
      <c r="G961" s="9">
        <f>IF($D961="","",YEAR($D961))</f>
        <v/>
      </c>
      <c r="H961" s="9">
        <f>IF($D961="","",ROUNDUP(MONTH($D961)/3,0))</f>
        <v/>
      </c>
    </row>
    <row r="962">
      <c r="A962" s="6" t="n"/>
      <c r="B962" s="6" t="n"/>
      <c r="C962" s="8" t="n"/>
      <c r="D962" s="14" t="n"/>
      <c r="E962" s="6" t="n"/>
      <c r="F962" s="6">
        <f>IF($B962="","",IFERROR(VLOOKUP($B962,Agents!$A:$C,3,FALSE),"؟"))</f>
        <v/>
      </c>
      <c r="G962" s="6">
        <f>IF($D962="","",YEAR($D962))</f>
        <v/>
      </c>
      <c r="H962" s="6">
        <f>IF($D962="","",ROUNDUP(MONTH($D962)/3,0))</f>
        <v/>
      </c>
    </row>
    <row r="963">
      <c r="A963" s="9" t="n"/>
      <c r="B963" s="9" t="n"/>
      <c r="C963" s="10" t="n"/>
      <c r="D963" s="16" t="n"/>
      <c r="E963" s="9" t="n"/>
      <c r="F963" s="9">
        <f>IF($B963="","",IFERROR(VLOOKUP($B963,Agents!$A:$C,3,FALSE),"؟"))</f>
        <v/>
      </c>
      <c r="G963" s="9">
        <f>IF($D963="","",YEAR($D963))</f>
        <v/>
      </c>
      <c r="H963" s="9">
        <f>IF($D963="","",ROUNDUP(MONTH($D963)/3,0))</f>
        <v/>
      </c>
    </row>
    <row r="964">
      <c r="A964" s="6" t="n"/>
      <c r="B964" s="6" t="n"/>
      <c r="C964" s="8" t="n"/>
      <c r="D964" s="14" t="n"/>
      <c r="E964" s="6" t="n"/>
      <c r="F964" s="6">
        <f>IF($B964="","",IFERROR(VLOOKUP($B964,Agents!$A:$C,3,FALSE),"؟"))</f>
        <v/>
      </c>
      <c r="G964" s="6">
        <f>IF($D964="","",YEAR($D964))</f>
        <v/>
      </c>
      <c r="H964" s="6">
        <f>IF($D964="","",ROUNDUP(MONTH($D964)/3,0))</f>
        <v/>
      </c>
    </row>
    <row r="965">
      <c r="A965" s="9" t="n"/>
      <c r="B965" s="9" t="n"/>
      <c r="C965" s="10" t="n"/>
      <c r="D965" s="16" t="n"/>
      <c r="E965" s="9" t="n"/>
      <c r="F965" s="9">
        <f>IF($B965="","",IFERROR(VLOOKUP($B965,Agents!$A:$C,3,FALSE),"؟"))</f>
        <v/>
      </c>
      <c r="G965" s="9">
        <f>IF($D965="","",YEAR($D965))</f>
        <v/>
      </c>
      <c r="H965" s="9">
        <f>IF($D965="","",ROUNDUP(MONTH($D965)/3,0))</f>
        <v/>
      </c>
    </row>
    <row r="966">
      <c r="A966" s="6" t="n"/>
      <c r="B966" s="6" t="n"/>
      <c r="C966" s="8" t="n"/>
      <c r="D966" s="14" t="n"/>
      <c r="E966" s="6" t="n"/>
      <c r="F966" s="6">
        <f>IF($B966="","",IFERROR(VLOOKUP($B966,Agents!$A:$C,3,FALSE),"؟"))</f>
        <v/>
      </c>
      <c r="G966" s="6">
        <f>IF($D966="","",YEAR($D966))</f>
        <v/>
      </c>
      <c r="H966" s="6">
        <f>IF($D966="","",ROUNDUP(MONTH($D966)/3,0))</f>
        <v/>
      </c>
    </row>
    <row r="967">
      <c r="A967" s="9" t="n"/>
      <c r="B967" s="9" t="n"/>
      <c r="C967" s="10" t="n"/>
      <c r="D967" s="16" t="n"/>
      <c r="E967" s="9" t="n"/>
      <c r="F967" s="9">
        <f>IF($B967="","",IFERROR(VLOOKUP($B967,Agents!$A:$C,3,FALSE),"؟"))</f>
        <v/>
      </c>
      <c r="G967" s="9">
        <f>IF($D967="","",YEAR($D967))</f>
        <v/>
      </c>
      <c r="H967" s="9">
        <f>IF($D967="","",ROUNDUP(MONTH($D967)/3,0))</f>
        <v/>
      </c>
    </row>
    <row r="968">
      <c r="A968" s="6" t="n"/>
      <c r="B968" s="6" t="n"/>
      <c r="C968" s="8" t="n"/>
      <c r="D968" s="14" t="n"/>
      <c r="E968" s="6" t="n"/>
      <c r="F968" s="6">
        <f>IF($B968="","",IFERROR(VLOOKUP($B968,Agents!$A:$C,3,FALSE),"؟"))</f>
        <v/>
      </c>
      <c r="G968" s="6">
        <f>IF($D968="","",YEAR($D968))</f>
        <v/>
      </c>
      <c r="H968" s="6">
        <f>IF($D968="","",ROUNDUP(MONTH($D968)/3,0))</f>
        <v/>
      </c>
    </row>
    <row r="969">
      <c r="A969" s="9" t="n"/>
      <c r="B969" s="9" t="n"/>
      <c r="C969" s="10" t="n"/>
      <c r="D969" s="16" t="n"/>
      <c r="E969" s="9" t="n"/>
      <c r="F969" s="9">
        <f>IF($B969="","",IFERROR(VLOOKUP($B969,Agents!$A:$C,3,FALSE),"؟"))</f>
        <v/>
      </c>
      <c r="G969" s="9">
        <f>IF($D969="","",YEAR($D969))</f>
        <v/>
      </c>
      <c r="H969" s="9">
        <f>IF($D969="","",ROUNDUP(MONTH($D969)/3,0))</f>
        <v/>
      </c>
    </row>
    <row r="970">
      <c r="A970" s="6" t="n"/>
      <c r="B970" s="6" t="n"/>
      <c r="C970" s="8" t="n"/>
      <c r="D970" s="14" t="n"/>
      <c r="E970" s="6" t="n"/>
      <c r="F970" s="6">
        <f>IF($B970="","",IFERROR(VLOOKUP($B970,Agents!$A:$C,3,FALSE),"؟"))</f>
        <v/>
      </c>
      <c r="G970" s="6">
        <f>IF($D970="","",YEAR($D970))</f>
        <v/>
      </c>
      <c r="H970" s="6">
        <f>IF($D970="","",ROUNDUP(MONTH($D970)/3,0))</f>
        <v/>
      </c>
    </row>
    <row r="971">
      <c r="A971" s="9" t="n"/>
      <c r="B971" s="9" t="n"/>
      <c r="C971" s="10" t="n"/>
      <c r="D971" s="16" t="n"/>
      <c r="E971" s="9" t="n"/>
      <c r="F971" s="9">
        <f>IF($B971="","",IFERROR(VLOOKUP($B971,Agents!$A:$C,3,FALSE),"؟"))</f>
        <v/>
      </c>
      <c r="G971" s="9">
        <f>IF($D971="","",YEAR($D971))</f>
        <v/>
      </c>
      <c r="H971" s="9">
        <f>IF($D971="","",ROUNDUP(MONTH($D971)/3,0))</f>
        <v/>
      </c>
    </row>
    <row r="972">
      <c r="A972" s="6" t="n"/>
      <c r="B972" s="6" t="n"/>
      <c r="C972" s="8" t="n"/>
      <c r="D972" s="14" t="n"/>
      <c r="E972" s="6" t="n"/>
      <c r="F972" s="6">
        <f>IF($B972="","",IFERROR(VLOOKUP($B972,Agents!$A:$C,3,FALSE),"؟"))</f>
        <v/>
      </c>
      <c r="G972" s="6">
        <f>IF($D972="","",YEAR($D972))</f>
        <v/>
      </c>
      <c r="H972" s="6">
        <f>IF($D972="","",ROUNDUP(MONTH($D972)/3,0))</f>
        <v/>
      </c>
    </row>
    <row r="973">
      <c r="A973" s="9" t="n"/>
      <c r="B973" s="9" t="n"/>
      <c r="C973" s="10" t="n"/>
      <c r="D973" s="16" t="n"/>
      <c r="E973" s="9" t="n"/>
      <c r="F973" s="9">
        <f>IF($B973="","",IFERROR(VLOOKUP($B973,Agents!$A:$C,3,FALSE),"؟"))</f>
        <v/>
      </c>
      <c r="G973" s="9">
        <f>IF($D973="","",YEAR($D973))</f>
        <v/>
      </c>
      <c r="H973" s="9">
        <f>IF($D973="","",ROUNDUP(MONTH($D973)/3,0))</f>
        <v/>
      </c>
    </row>
    <row r="974">
      <c r="A974" s="6" t="n"/>
      <c r="B974" s="6" t="n"/>
      <c r="C974" s="8" t="n"/>
      <c r="D974" s="14" t="n"/>
      <c r="E974" s="6" t="n"/>
      <c r="F974" s="6">
        <f>IF($B974="","",IFERROR(VLOOKUP($B974,Agents!$A:$C,3,FALSE),"؟"))</f>
        <v/>
      </c>
      <c r="G974" s="6">
        <f>IF($D974="","",YEAR($D974))</f>
        <v/>
      </c>
      <c r="H974" s="6">
        <f>IF($D974="","",ROUNDUP(MONTH($D974)/3,0))</f>
        <v/>
      </c>
    </row>
    <row r="975">
      <c r="A975" s="9" t="n"/>
      <c r="B975" s="9" t="n"/>
      <c r="C975" s="10" t="n"/>
      <c r="D975" s="16" t="n"/>
      <c r="E975" s="9" t="n"/>
      <c r="F975" s="9">
        <f>IF($B975="","",IFERROR(VLOOKUP($B975,Agents!$A:$C,3,FALSE),"؟"))</f>
        <v/>
      </c>
      <c r="G975" s="9">
        <f>IF($D975="","",YEAR($D975))</f>
        <v/>
      </c>
      <c r="H975" s="9">
        <f>IF($D975="","",ROUNDUP(MONTH($D975)/3,0))</f>
        <v/>
      </c>
    </row>
    <row r="976">
      <c r="A976" s="6" t="n"/>
      <c r="B976" s="6" t="n"/>
      <c r="C976" s="8" t="n"/>
      <c r="D976" s="14" t="n"/>
      <c r="E976" s="6" t="n"/>
      <c r="F976" s="6">
        <f>IF($B976="","",IFERROR(VLOOKUP($B976,Agents!$A:$C,3,FALSE),"؟"))</f>
        <v/>
      </c>
      <c r="G976" s="6">
        <f>IF($D976="","",YEAR($D976))</f>
        <v/>
      </c>
      <c r="H976" s="6">
        <f>IF($D976="","",ROUNDUP(MONTH($D976)/3,0))</f>
        <v/>
      </c>
    </row>
    <row r="977">
      <c r="A977" s="9" t="n"/>
      <c r="B977" s="9" t="n"/>
      <c r="C977" s="10" t="n"/>
      <c r="D977" s="16" t="n"/>
      <c r="E977" s="9" t="n"/>
      <c r="F977" s="9">
        <f>IF($B977="","",IFERROR(VLOOKUP($B977,Agents!$A:$C,3,FALSE),"؟"))</f>
        <v/>
      </c>
      <c r="G977" s="9">
        <f>IF($D977="","",YEAR($D977))</f>
        <v/>
      </c>
      <c r="H977" s="9">
        <f>IF($D977="","",ROUNDUP(MONTH($D977)/3,0))</f>
        <v/>
      </c>
    </row>
    <row r="978">
      <c r="A978" s="6" t="n"/>
      <c r="B978" s="6" t="n"/>
      <c r="C978" s="8" t="n"/>
      <c r="D978" s="14" t="n"/>
      <c r="E978" s="6" t="n"/>
      <c r="F978" s="6">
        <f>IF($B978="","",IFERROR(VLOOKUP($B978,Agents!$A:$C,3,FALSE),"؟"))</f>
        <v/>
      </c>
      <c r="G978" s="6">
        <f>IF($D978="","",YEAR($D978))</f>
        <v/>
      </c>
      <c r="H978" s="6">
        <f>IF($D978="","",ROUNDUP(MONTH($D978)/3,0))</f>
        <v/>
      </c>
    </row>
    <row r="979">
      <c r="A979" s="9" t="n"/>
      <c r="B979" s="9" t="n"/>
      <c r="C979" s="10" t="n"/>
      <c r="D979" s="16" t="n"/>
      <c r="E979" s="9" t="n"/>
      <c r="F979" s="9">
        <f>IF($B979="","",IFERROR(VLOOKUP($B979,Agents!$A:$C,3,FALSE),"؟"))</f>
        <v/>
      </c>
      <c r="G979" s="9">
        <f>IF($D979="","",YEAR($D979))</f>
        <v/>
      </c>
      <c r="H979" s="9">
        <f>IF($D979="","",ROUNDUP(MONTH($D979)/3,0))</f>
        <v/>
      </c>
    </row>
    <row r="980">
      <c r="A980" s="6" t="n"/>
      <c r="B980" s="6" t="n"/>
      <c r="C980" s="8" t="n"/>
      <c r="D980" s="14" t="n"/>
      <c r="E980" s="6" t="n"/>
      <c r="F980" s="6">
        <f>IF($B980="","",IFERROR(VLOOKUP($B980,Agents!$A:$C,3,FALSE),"؟"))</f>
        <v/>
      </c>
      <c r="G980" s="6">
        <f>IF($D980="","",YEAR($D980))</f>
        <v/>
      </c>
      <c r="H980" s="6">
        <f>IF($D980="","",ROUNDUP(MONTH($D980)/3,0))</f>
        <v/>
      </c>
    </row>
    <row r="981">
      <c r="A981" s="9" t="n"/>
      <c r="B981" s="9" t="n"/>
      <c r="C981" s="10" t="n"/>
      <c r="D981" s="16" t="n"/>
      <c r="E981" s="9" t="n"/>
      <c r="F981" s="9">
        <f>IF($B981="","",IFERROR(VLOOKUP($B981,Agents!$A:$C,3,FALSE),"؟"))</f>
        <v/>
      </c>
      <c r="G981" s="9">
        <f>IF($D981="","",YEAR($D981))</f>
        <v/>
      </c>
      <c r="H981" s="9">
        <f>IF($D981="","",ROUNDUP(MONTH($D981)/3,0))</f>
        <v/>
      </c>
    </row>
    <row r="982">
      <c r="A982" s="6" t="n"/>
      <c r="B982" s="6" t="n"/>
      <c r="C982" s="8" t="n"/>
      <c r="D982" s="14" t="n"/>
      <c r="E982" s="6" t="n"/>
      <c r="F982" s="6">
        <f>IF($B982="","",IFERROR(VLOOKUP($B982,Agents!$A:$C,3,FALSE),"؟"))</f>
        <v/>
      </c>
      <c r="G982" s="6">
        <f>IF($D982="","",YEAR($D982))</f>
        <v/>
      </c>
      <c r="H982" s="6">
        <f>IF($D982="","",ROUNDUP(MONTH($D982)/3,0))</f>
        <v/>
      </c>
    </row>
    <row r="983">
      <c r="A983" s="9" t="n"/>
      <c r="B983" s="9" t="n"/>
      <c r="C983" s="10" t="n"/>
      <c r="D983" s="16" t="n"/>
      <c r="E983" s="9" t="n"/>
      <c r="F983" s="9">
        <f>IF($B983="","",IFERROR(VLOOKUP($B983,Agents!$A:$C,3,FALSE),"؟"))</f>
        <v/>
      </c>
      <c r="G983" s="9">
        <f>IF($D983="","",YEAR($D983))</f>
        <v/>
      </c>
      <c r="H983" s="9">
        <f>IF($D983="","",ROUNDUP(MONTH($D983)/3,0))</f>
        <v/>
      </c>
    </row>
    <row r="984">
      <c r="A984" s="6" t="n"/>
      <c r="B984" s="6" t="n"/>
      <c r="C984" s="8" t="n"/>
      <c r="D984" s="14" t="n"/>
      <c r="E984" s="6" t="n"/>
      <c r="F984" s="6">
        <f>IF($B984="","",IFERROR(VLOOKUP($B984,Agents!$A:$C,3,FALSE),"؟"))</f>
        <v/>
      </c>
      <c r="G984" s="6">
        <f>IF($D984="","",YEAR($D984))</f>
        <v/>
      </c>
      <c r="H984" s="6">
        <f>IF($D984="","",ROUNDUP(MONTH($D984)/3,0))</f>
        <v/>
      </c>
    </row>
    <row r="985">
      <c r="A985" s="9" t="n"/>
      <c r="B985" s="9" t="n"/>
      <c r="C985" s="10" t="n"/>
      <c r="D985" s="16" t="n"/>
      <c r="E985" s="9" t="n"/>
      <c r="F985" s="9">
        <f>IF($B985="","",IFERROR(VLOOKUP($B985,Agents!$A:$C,3,FALSE),"؟"))</f>
        <v/>
      </c>
      <c r="G985" s="9">
        <f>IF($D985="","",YEAR($D985))</f>
        <v/>
      </c>
      <c r="H985" s="9">
        <f>IF($D985="","",ROUNDUP(MONTH($D985)/3,0))</f>
        <v/>
      </c>
    </row>
    <row r="986">
      <c r="A986" s="6" t="n"/>
      <c r="B986" s="6" t="n"/>
      <c r="C986" s="8" t="n"/>
      <c r="D986" s="14" t="n"/>
      <c r="E986" s="6" t="n"/>
      <c r="F986" s="6">
        <f>IF($B986="","",IFERROR(VLOOKUP($B986,Agents!$A:$C,3,FALSE),"؟"))</f>
        <v/>
      </c>
      <c r="G986" s="6">
        <f>IF($D986="","",YEAR($D986))</f>
        <v/>
      </c>
      <c r="H986" s="6">
        <f>IF($D986="","",ROUNDUP(MONTH($D986)/3,0))</f>
        <v/>
      </c>
    </row>
    <row r="987">
      <c r="A987" s="9" t="n"/>
      <c r="B987" s="9" t="n"/>
      <c r="C987" s="10" t="n"/>
      <c r="D987" s="16" t="n"/>
      <c r="E987" s="9" t="n"/>
      <c r="F987" s="9">
        <f>IF($B987="","",IFERROR(VLOOKUP($B987,Agents!$A:$C,3,FALSE),"؟"))</f>
        <v/>
      </c>
      <c r="G987" s="9">
        <f>IF($D987="","",YEAR($D987))</f>
        <v/>
      </c>
      <c r="H987" s="9">
        <f>IF($D987="","",ROUNDUP(MONTH($D987)/3,0))</f>
        <v/>
      </c>
    </row>
    <row r="988">
      <c r="A988" s="6" t="n"/>
      <c r="B988" s="6" t="n"/>
      <c r="C988" s="8" t="n"/>
      <c r="D988" s="14" t="n"/>
      <c r="E988" s="6" t="n"/>
      <c r="F988" s="6">
        <f>IF($B988="","",IFERROR(VLOOKUP($B988,Agents!$A:$C,3,FALSE),"؟"))</f>
        <v/>
      </c>
      <c r="G988" s="6">
        <f>IF($D988="","",YEAR($D988))</f>
        <v/>
      </c>
      <c r="H988" s="6">
        <f>IF($D988="","",ROUNDUP(MONTH($D988)/3,0))</f>
        <v/>
      </c>
    </row>
    <row r="989">
      <c r="A989" s="9" t="n"/>
      <c r="B989" s="9" t="n"/>
      <c r="C989" s="10" t="n"/>
      <c r="D989" s="16" t="n"/>
      <c r="E989" s="9" t="n"/>
      <c r="F989" s="9">
        <f>IF($B989="","",IFERROR(VLOOKUP($B989,Agents!$A:$C,3,FALSE),"؟"))</f>
        <v/>
      </c>
      <c r="G989" s="9">
        <f>IF($D989="","",YEAR($D989))</f>
        <v/>
      </c>
      <c r="H989" s="9">
        <f>IF($D989="","",ROUNDUP(MONTH($D989)/3,0))</f>
        <v/>
      </c>
    </row>
    <row r="990">
      <c r="A990" s="6" t="n"/>
      <c r="B990" s="6" t="n"/>
      <c r="C990" s="8" t="n"/>
      <c r="D990" s="14" t="n"/>
      <c r="E990" s="6" t="n"/>
      <c r="F990" s="6">
        <f>IF($B990="","",IFERROR(VLOOKUP($B990,Agents!$A:$C,3,FALSE),"؟"))</f>
        <v/>
      </c>
      <c r="G990" s="6">
        <f>IF($D990="","",YEAR($D990))</f>
        <v/>
      </c>
      <c r="H990" s="6">
        <f>IF($D990="","",ROUNDUP(MONTH($D990)/3,0))</f>
        <v/>
      </c>
    </row>
    <row r="991">
      <c r="A991" s="9" t="n"/>
      <c r="B991" s="9" t="n"/>
      <c r="C991" s="10" t="n"/>
      <c r="D991" s="16" t="n"/>
      <c r="E991" s="9" t="n"/>
      <c r="F991" s="9">
        <f>IF($B991="","",IFERROR(VLOOKUP($B991,Agents!$A:$C,3,FALSE),"؟"))</f>
        <v/>
      </c>
      <c r="G991" s="9">
        <f>IF($D991="","",YEAR($D991))</f>
        <v/>
      </c>
      <c r="H991" s="9">
        <f>IF($D991="","",ROUNDUP(MONTH($D991)/3,0))</f>
        <v/>
      </c>
    </row>
    <row r="992">
      <c r="A992" s="6" t="n"/>
      <c r="B992" s="6" t="n"/>
      <c r="C992" s="8" t="n"/>
      <c r="D992" s="14" t="n"/>
      <c r="E992" s="6" t="n"/>
      <c r="F992" s="6">
        <f>IF($B992="","",IFERROR(VLOOKUP($B992,Agents!$A:$C,3,FALSE),"؟"))</f>
        <v/>
      </c>
      <c r="G992" s="6">
        <f>IF($D992="","",YEAR($D992))</f>
        <v/>
      </c>
      <c r="H992" s="6">
        <f>IF($D992="","",ROUNDUP(MONTH($D992)/3,0))</f>
        <v/>
      </c>
    </row>
    <row r="993">
      <c r="A993" s="9" t="n"/>
      <c r="B993" s="9" t="n"/>
      <c r="C993" s="10" t="n"/>
      <c r="D993" s="16" t="n"/>
      <c r="E993" s="9" t="n"/>
      <c r="F993" s="9">
        <f>IF($B993="","",IFERROR(VLOOKUP($B993,Agents!$A:$C,3,FALSE),"؟"))</f>
        <v/>
      </c>
      <c r="G993" s="9">
        <f>IF($D993="","",YEAR($D993))</f>
        <v/>
      </c>
      <c r="H993" s="9">
        <f>IF($D993="","",ROUNDUP(MONTH($D993)/3,0))</f>
        <v/>
      </c>
    </row>
    <row r="994">
      <c r="A994" s="6" t="n"/>
      <c r="B994" s="6" t="n"/>
      <c r="C994" s="8" t="n"/>
      <c r="D994" s="14" t="n"/>
      <c r="E994" s="6" t="n"/>
      <c r="F994" s="6">
        <f>IF($B994="","",IFERROR(VLOOKUP($B994,Agents!$A:$C,3,FALSE),"؟"))</f>
        <v/>
      </c>
      <c r="G994" s="6">
        <f>IF($D994="","",YEAR($D994))</f>
        <v/>
      </c>
      <c r="H994" s="6">
        <f>IF($D994="","",ROUNDUP(MONTH($D994)/3,0))</f>
        <v/>
      </c>
    </row>
    <row r="995">
      <c r="A995" s="9" t="n"/>
      <c r="B995" s="9" t="n"/>
      <c r="C995" s="10" t="n"/>
      <c r="D995" s="16" t="n"/>
      <c r="E995" s="9" t="n"/>
      <c r="F995" s="9">
        <f>IF($B995="","",IFERROR(VLOOKUP($B995,Agents!$A:$C,3,FALSE),"؟"))</f>
        <v/>
      </c>
      <c r="G995" s="9">
        <f>IF($D995="","",YEAR($D995))</f>
        <v/>
      </c>
      <c r="H995" s="9">
        <f>IF($D995="","",ROUNDUP(MONTH($D995)/3,0))</f>
        <v/>
      </c>
    </row>
    <row r="996">
      <c r="A996" s="6" t="n"/>
      <c r="B996" s="6" t="n"/>
      <c r="C996" s="8" t="n"/>
      <c r="D996" s="14" t="n"/>
      <c r="E996" s="6" t="n"/>
      <c r="F996" s="6">
        <f>IF($B996="","",IFERROR(VLOOKUP($B996,Agents!$A:$C,3,FALSE),"؟"))</f>
        <v/>
      </c>
      <c r="G996" s="6">
        <f>IF($D996="","",YEAR($D996))</f>
        <v/>
      </c>
      <c r="H996" s="6">
        <f>IF($D996="","",ROUNDUP(MONTH($D996)/3,0))</f>
        <v/>
      </c>
    </row>
    <row r="997">
      <c r="A997" s="9" t="n"/>
      <c r="B997" s="9" t="n"/>
      <c r="C997" s="10" t="n"/>
      <c r="D997" s="16" t="n"/>
      <c r="E997" s="9" t="n"/>
      <c r="F997" s="9">
        <f>IF($B997="","",IFERROR(VLOOKUP($B997,Agents!$A:$C,3,FALSE),"؟"))</f>
        <v/>
      </c>
      <c r="G997" s="9">
        <f>IF($D997="","",YEAR($D997))</f>
        <v/>
      </c>
      <c r="H997" s="9">
        <f>IF($D997="","",ROUNDUP(MONTH($D997)/3,0))</f>
        <v/>
      </c>
    </row>
    <row r="998">
      <c r="A998" s="6" t="n"/>
      <c r="B998" s="6" t="n"/>
      <c r="C998" s="8" t="n"/>
      <c r="D998" s="14" t="n"/>
      <c r="E998" s="6" t="n"/>
      <c r="F998" s="6">
        <f>IF($B998="","",IFERROR(VLOOKUP($B998,Agents!$A:$C,3,FALSE),"؟"))</f>
        <v/>
      </c>
      <c r="G998" s="6">
        <f>IF($D998="","",YEAR($D998))</f>
        <v/>
      </c>
      <c r="H998" s="6">
        <f>IF($D998="","",ROUNDUP(MONTH($D998)/3,0))</f>
        <v/>
      </c>
    </row>
    <row r="999">
      <c r="A999" s="9" t="n"/>
      <c r="B999" s="9" t="n"/>
      <c r="C999" s="10" t="n"/>
      <c r="D999" s="16" t="n"/>
      <c r="E999" s="9" t="n"/>
      <c r="F999" s="9">
        <f>IF($B999="","",IFERROR(VLOOKUP($B999,Agents!$A:$C,3,FALSE),"؟"))</f>
        <v/>
      </c>
      <c r="G999" s="9">
        <f>IF($D999="","",YEAR($D999))</f>
        <v/>
      </c>
      <c r="H999" s="9">
        <f>IF($D999="","",ROUNDUP(MONTH($D999)/3,0))</f>
        <v/>
      </c>
    </row>
    <row r="1000">
      <c r="A1000" s="6" t="n"/>
      <c r="B1000" s="6" t="n"/>
      <c r="C1000" s="8" t="n"/>
      <c r="D1000" s="14" t="n"/>
      <c r="E1000" s="6" t="n"/>
      <c r="F1000" s="6">
        <f>IF($B1000="","",IFERROR(VLOOKUP($B1000,Agents!$A:$C,3,FALSE),"؟"))</f>
        <v/>
      </c>
      <c r="G1000" s="6">
        <f>IF($D1000="","",YEAR($D1000))</f>
        <v/>
      </c>
      <c r="H1000" s="6">
        <f>IF($D1000="","",ROUNDUP(MONTH($D1000)/3,0))</f>
        <v/>
      </c>
    </row>
    <row r="1001">
      <c r="A1001" s="9" t="n"/>
      <c r="B1001" s="9" t="n"/>
      <c r="C1001" s="10" t="n"/>
      <c r="D1001" s="16" t="n"/>
      <c r="E1001" s="9" t="n"/>
      <c r="F1001" s="9">
        <f>IF($B1001="","",IFERROR(VLOOKUP($B1001,Agents!$A:$C,3,FALSE),"؟"))</f>
        <v/>
      </c>
      <c r="G1001" s="9">
        <f>IF($D1001="","",YEAR($D1001))</f>
        <v/>
      </c>
      <c r="H1001" s="9">
        <f>IF($D1001="","",ROUNDUP(MONTH($D1001)/3,0))</f>
        <v/>
      </c>
    </row>
  </sheetData>
  <dataValidations count="1">
    <dataValidation sqref="B2:B1001" showDropDown="0" showInputMessage="0" showErrorMessage="0" allowBlank="1" errorTitle="مستشار غير معروف" error="اختر مستشاراً من القائمة" type="list">
      <formula1>=Agents!$A$2:$A$61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242C"/>
    <outlinePr summaryBelow="1" summaryRight="1"/>
    <pageSetUpPr/>
  </sheetPr>
  <dimension ref="A1:F12"/>
  <sheetViews>
    <sheetView rightToLeft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7" t="inlineStr">
        <is>
          <t>تفاصيل مبيعات مستشار</t>
        </is>
      </c>
    </row>
    <row r="3">
      <c r="A3" s="18" t="inlineStr">
        <is>
          <t>اختر المستشار</t>
        </is>
      </c>
      <c r="B3" s="19" t="inlineStr"/>
    </row>
    <row r="5">
      <c r="A5" s="20" t="inlineStr">
        <is>
          <t>الفرع</t>
        </is>
      </c>
      <c r="B5" s="21">
        <f>IFERROR(VLOOKUP('تفاصيل المستشار'!$B$3,Agents!$A:$C,3,FALSE),"")</f>
        <v/>
      </c>
    </row>
    <row r="6">
      <c r="A6" s="20" t="inlineStr">
        <is>
          <t>مستهدف الربع الحالي</t>
        </is>
      </c>
      <c r="B6" s="22">
        <f>IFERROR(CHOOSE(ROUNDUP(MONTH(TODAY())/3,0),VLOOKUP('تفاصيل المستشار'!$B$3,Agents!$A:$E,5,FALSE),VLOOKUP('تفاصيل المستشار'!$B$3,Agents!$A:$G,7,FALSE),VLOOKUP('تفاصيل المستشار'!$B$3,Agents!$A:$I,9,FALSE),VLOOKUP('تفاصيل المستشار'!$B$3,Agents!$A:$K,11,FALSE)),0)</f>
        <v/>
      </c>
    </row>
    <row r="7">
      <c r="A7" s="20" t="inlineStr">
        <is>
          <t>مبيعات الربع الحالي</t>
        </is>
      </c>
      <c r="B7" s="22">
        <f>IFERROR(CHOOSE(ROUNDUP(MONTH(TODAY())/3,0),VLOOKUP('تفاصيل المستشار'!$B$3,Agents!$A:$F,6,FALSE),VLOOKUP('تفاصيل المستشار'!$B$3,Agents!$A:$H,8,FALSE),VLOOKUP('تفاصيل المستشار'!$B$3,Agents!$A:$J,10,FALSE),VLOOKUP('تفاصيل المستشار'!$B$3,Agents!$A:$L,12,FALSE)),0)</f>
        <v/>
      </c>
    </row>
    <row r="8">
      <c r="A8" s="20" t="inlineStr">
        <is>
          <t>نسبة الإنجاز</t>
        </is>
      </c>
      <c r="B8" s="23">
        <f>IFERROR(VLOOKUP('تفاصيل المستشار'!$B$3,Agents!$A:$M,13,FALSE),0)</f>
        <v/>
      </c>
    </row>
    <row r="10">
      <c r="A10" s="24" t="inlineStr">
        <is>
          <t>كل صفقات هذا المستشار (تُحدَّث فوراً عند اختيار اسم مختلف):</t>
        </is>
      </c>
    </row>
    <row r="11" ht="30" customHeight="1">
      <c r="A11" s="5" t="inlineStr">
        <is>
          <t>قيمة الصفقة (ج.م)</t>
        </is>
      </c>
      <c r="B11" s="5" t="inlineStr">
        <is>
          <t>تاريخ الصفقة</t>
        </is>
      </c>
      <c r="C11" s="5" t="inlineStr">
        <is>
          <t>ملاحظات</t>
        </is>
      </c>
    </row>
    <row r="12">
      <c r="A12">
        <f>IFERROR(FILTER('سجل المبيعات'!$C$2:$E$1001,'سجل المبيعات'!$B$2:$B$1001='تفاصيل المستشار'!$B$3),"لا توجد صفقات مسجَّلة بعد")</f>
        <v/>
      </c>
    </row>
  </sheetData>
  <mergeCells count="1">
    <mergeCell ref="A1:F1"/>
  </mergeCells>
  <dataValidations count="1">
    <dataValidation sqref="B3" showDropDown="0" showInputMessage="0" showErrorMessage="0" allowBlank="1" type="list">
      <formula1>=Agents!$A$2:$A$61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2026-09-06T14:05:18Z</dcterms:created>
  <dcterms:modified xsi:type="dcterms:W3CDTF">2026-09-06T14:05:18Z</dcterms:modified>
</cp:coreProperties>
</file>